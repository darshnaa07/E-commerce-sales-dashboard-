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 Data" sheetId="2" r:id="rId6"/>
    <sheet state="visible" name="Summary " sheetId="3" r:id="rId7"/>
    <sheet state="visible" name="Dashboard " sheetId="4" r:id="rId8"/>
  </sheets>
  <definedNames/>
  <calcPr/>
</workbook>
</file>

<file path=xl/sharedStrings.xml><?xml version="1.0" encoding="utf-8"?>
<sst xmlns="http://schemas.openxmlformats.org/spreadsheetml/2006/main" count="628" uniqueCount="131">
  <si>
    <t>Order ID</t>
  </si>
  <si>
    <t>Date</t>
  </si>
  <si>
    <t>Customer Name</t>
  </si>
  <si>
    <t>Product</t>
  </si>
  <si>
    <t xml:space="preserve">Category </t>
  </si>
  <si>
    <t xml:space="preserve">Quantity </t>
  </si>
  <si>
    <t>Unit price</t>
  </si>
  <si>
    <t>Discount%</t>
  </si>
  <si>
    <t xml:space="preserve">Payment method </t>
  </si>
  <si>
    <t>ORD001</t>
  </si>
  <si>
    <t xml:space="preserve">Rahul sharma </t>
  </si>
  <si>
    <t xml:space="preserve">Laptop </t>
  </si>
  <si>
    <t xml:space="preserve">Electronics </t>
  </si>
  <si>
    <t>UPI</t>
  </si>
  <si>
    <t>ORD002</t>
  </si>
  <si>
    <t xml:space="preserve">Duplicate check </t>
  </si>
  <si>
    <t>Priya verma</t>
  </si>
  <si>
    <t xml:space="preserve">Missing check </t>
  </si>
  <si>
    <t>Shoes</t>
  </si>
  <si>
    <t xml:space="preserve">Fashion </t>
  </si>
  <si>
    <t xml:space="preserve">Data quality check </t>
  </si>
  <si>
    <t xml:space="preserve">ANALYSIS </t>
  </si>
  <si>
    <t xml:space="preserve">Salesperson </t>
  </si>
  <si>
    <t>Card</t>
  </si>
  <si>
    <t>ORD003</t>
  </si>
  <si>
    <t>Net sales</t>
  </si>
  <si>
    <t>Amit kumar</t>
  </si>
  <si>
    <t xml:space="preserve">Smartphone </t>
  </si>
  <si>
    <t>ORD004</t>
  </si>
  <si>
    <t>Neha singh</t>
  </si>
  <si>
    <t xml:space="preserve">Tshirt </t>
  </si>
  <si>
    <t xml:space="preserve">Cash </t>
  </si>
  <si>
    <t>ORD005</t>
  </si>
  <si>
    <t xml:space="preserve">Metric </t>
  </si>
  <si>
    <t>Ananya gupta</t>
  </si>
  <si>
    <t xml:space="preserve">Headphones </t>
  </si>
  <si>
    <t xml:space="preserve">UPI </t>
  </si>
  <si>
    <t>ORD006</t>
  </si>
  <si>
    <t xml:space="preserve">Result </t>
  </si>
  <si>
    <t>Rohan mehta</t>
  </si>
  <si>
    <t>Bagpack</t>
  </si>
  <si>
    <t>Total orders</t>
  </si>
  <si>
    <t xml:space="preserve">Accessories </t>
  </si>
  <si>
    <t xml:space="preserve">Card </t>
  </si>
  <si>
    <t>ORD007</t>
  </si>
  <si>
    <t>Sneha yadav</t>
  </si>
  <si>
    <t xml:space="preserve">Tablet </t>
  </si>
  <si>
    <t>ORD008</t>
  </si>
  <si>
    <t xml:space="preserve">Arjun Malhotra </t>
  </si>
  <si>
    <t>Jeans</t>
  </si>
  <si>
    <t>ORD009</t>
  </si>
  <si>
    <t>Pooja mishra</t>
  </si>
  <si>
    <t xml:space="preserve">Keyboard </t>
  </si>
  <si>
    <t>ORD010</t>
  </si>
  <si>
    <t>Karan Joshi</t>
  </si>
  <si>
    <t xml:space="preserve">Watch </t>
  </si>
  <si>
    <t>Total quantity sold</t>
  </si>
  <si>
    <t xml:space="preserve">cash </t>
  </si>
  <si>
    <t>ORD011</t>
  </si>
  <si>
    <t xml:space="preserve">Monitor </t>
  </si>
  <si>
    <t>ORD012</t>
  </si>
  <si>
    <t>Gross sales</t>
  </si>
  <si>
    <t>Saree</t>
  </si>
  <si>
    <t>ORD013</t>
  </si>
  <si>
    <t>Mouse</t>
  </si>
  <si>
    <t xml:space="preserve">Total discount </t>
  </si>
  <si>
    <t>ORD014</t>
  </si>
  <si>
    <t xml:space="preserve">Jacket </t>
  </si>
  <si>
    <t>ORD015</t>
  </si>
  <si>
    <t xml:space="preserve">Power bank </t>
  </si>
  <si>
    <t>ORD016</t>
  </si>
  <si>
    <t xml:space="preserve">Shoes </t>
  </si>
  <si>
    <t>ORD017</t>
  </si>
  <si>
    <t>Rahul</t>
  </si>
  <si>
    <t>Average order value</t>
  </si>
  <si>
    <t>ORD018</t>
  </si>
  <si>
    <t>Highest Sale</t>
  </si>
  <si>
    <t xml:space="preserve">Bagpack </t>
  </si>
  <si>
    <t>Cash</t>
  </si>
  <si>
    <t>ORD019</t>
  </si>
  <si>
    <t>ORD020</t>
  </si>
  <si>
    <t>ORD021</t>
  </si>
  <si>
    <t>ORD022</t>
  </si>
  <si>
    <t>Priya</t>
  </si>
  <si>
    <t>ORD023</t>
  </si>
  <si>
    <t>ORD024</t>
  </si>
  <si>
    <t>Lowest sale</t>
  </si>
  <si>
    <t>ORD025</t>
  </si>
  <si>
    <t>ORD026</t>
  </si>
  <si>
    <t>ORD027</t>
  </si>
  <si>
    <t xml:space="preserve">SALESPERSON ANALYSIS </t>
  </si>
  <si>
    <t>ORD028</t>
  </si>
  <si>
    <t>Amit</t>
  </si>
  <si>
    <t>ORD029</t>
  </si>
  <si>
    <t>Total sales</t>
  </si>
  <si>
    <t xml:space="preserve">Mouse </t>
  </si>
  <si>
    <t xml:space="preserve">Orders </t>
  </si>
  <si>
    <t>ORD030</t>
  </si>
  <si>
    <t xml:space="preserve">Quantity sold </t>
  </si>
  <si>
    <t>ORD031</t>
  </si>
  <si>
    <t>ORD032</t>
  </si>
  <si>
    <t>Neha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</si>
  <si>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</si>
  <si>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</si>
  <si>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</si>
  <si>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</si>
  <si>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</si>
  <si>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</si>
  <si>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</si>
  <si>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</si>
  <si>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Jacket</t>
  </si>
  <si>
    <t>ORD041</t>
  </si>
  <si>
    <t>ORD042</t>
  </si>
  <si>
    <t xml:space="preserve">Saree </t>
  </si>
  <si>
    <t>ORD043</t>
  </si>
  <si>
    <t>ORD044</t>
  </si>
  <si>
    <t xml:space="preserve">CATEGORY ANALYSIS </t>
  </si>
  <si>
    <t>ORD045</t>
  </si>
  <si>
    <t>Orders</t>
  </si>
  <si>
    <t>ORD046</t>
  </si>
  <si>
    <t>ORD047</t>
  </si>
  <si>
    <t>ORD048</t>
  </si>
  <si>
    <t>Fashion</t>
  </si>
  <si>
    <t>ORD049</t>
  </si>
  <si>
    <t>ORD050</t>
  </si>
  <si>
    <t xml:space="preserve">PRODUCT ANALYSIS </t>
  </si>
  <si>
    <t xml:space="preserve">Product </t>
  </si>
  <si>
    <t xml:space="preserve">Total sales </t>
  </si>
  <si>
    <t xml:space="preserve">E-COMMERCE SALES DASHBOARD </t>
  </si>
  <si>
    <t>Value</t>
  </si>
  <si>
    <t xml:space="preserve">Total quantity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</si>
</sst>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sz val="36.0"/>
      <color theme="1"/>
      <name val="Arial"/>
      <scheme val="minor"/>
    </font>
    <font>
      <b/>
      <u/>
      <sz val="36.0"/>
      <color theme="1"/>
      <name val="Arial"/>
      <scheme val="minor"/>
    </font>
    <font>
      <b/>
      <u/>
      <color theme="1"/>
      <name val="Arial"/>
      <scheme val="minor"/>
    </font>
    <font>
      <b/>
      <u/>
      <sz val="9.0"/>
      <color theme="1"/>
      <name val="Arial"/>
      <scheme val="minor"/>
    </font>
    <font>
      <b/>
      <sz val="12.0"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sz val="11.0"/>
      <color theme="1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 vertical="center"/>
    </xf>
    <xf borderId="1" fillId="3" fontId="1" numFmtId="164" xfId="0" applyAlignment="1" applyBorder="1" applyFill="1" applyFont="1" applyNumberForma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3" fontId="1" numFmtId="9" xfId="0" applyAlignment="1" applyBorder="1" applyFill="1" applyFont="1" applyNumberFormat="1">
      <alignment horizontal="center" readingOrder="0"/>
    </xf>
    <xf borderId="1" fillId="5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1" fillId="4" fontId="8" numFmtId="0" xfId="0" applyAlignment="1" applyBorder="1" applyFill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1" fillId="5" fontId="1" numFmtId="164" xfId="0" applyAlignment="1" applyBorder="1" applyFill="1" applyFont="1" applyNumberFormat="1">
      <alignment horizontal="center" readingOrder="0"/>
    </xf>
    <xf borderId="1" fillId="6" fontId="10" numFmtId="0" xfId="0" applyAlignment="1" applyBorder="1" applyFill="1" applyFont="1">
      <alignment horizontal="center" readingOrder="0"/>
    </xf>
    <xf borderId="1" fillId="7" fontId="11" numFmtId="0" xfId="0" applyAlignment="1" applyBorder="1" applyFill="1" applyFont="1">
      <alignment horizontal="center" readingOrder="0"/>
    </xf>
    <xf borderId="1" fillId="7" fontId="1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Total sales vs Salesperson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'Summary '!$B$20</c:f>
            </c:strRef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'Summary '!$A$21:$A$24</c:f>
            </c:strRef>
          </c:cat>
          <c:val>
            <c:numRef>
              <c:f>'Summary '!$B$21:$B$24</c:f>
              <c:numCache/>
            </c:numRef>
          </c:val>
        </c:ser>
        <c:axId val="1474937971"/>
        <c:axId val="2075822039"/>
      </c:barChart>
      <c:catAx>
        <c:axId val="1474937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822039"/>
      </c:catAx>
      <c:valAx>
        <c:axId val="2075822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937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Total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'Summary '!$B$30</c:f>
            </c:strRef>
          </c:tx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'Summary '!$A$31:$A$33</c:f>
            </c:strRef>
          </c:cat>
          <c:val>
            <c:numRef>
              <c:f>'Summary '!$B$31:$B$33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Total sales  vs Product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'Summary '!$B$38</c:f>
            </c:strRef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'Summary '!$A$39:$A$51</c:f>
            </c:strRef>
          </c:cat>
          <c:val>
            <c:numRef>
              <c:f>'Summary '!$B$39:$B$51</c:f>
              <c:numCache/>
            </c:numRef>
          </c:val>
        </c:ser>
        <c:axId val="485815055"/>
        <c:axId val="2145041177"/>
      </c:barChart>
      <c:catAx>
        <c:axId val="485815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041177"/>
      </c:catAx>
      <c:valAx>
        <c:axId val="2145041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815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Net sales vs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'Summary '!$B$57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'Summary '!$A$58:$A$107</c:f>
            </c:strRef>
          </c:cat>
          <c:val>
            <c:numRef>
              <c:f>'Summary '!$B$58:$B$107</c:f>
              <c:numCache/>
            </c:numRef>
          </c:val>
          <c:smooth val="0"/>
        </c:ser>
        <c:axId val="1659487421"/>
        <c:axId val="122037308"/>
      </c:lineChart>
      <c:catAx>
        <c:axId val="1659487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37308"/>
      </c:catAx>
      <c:valAx>
        <c:axId val="122037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487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11</xdr:row>
      <xdr:rowOff>133350</xdr:rowOff>
    </xdr:from>
    <xdr:ext cx="9153525" cy="4733925"/>
    <xdr:graphicFrame>
      <xdr:nvGraphicFramePr>
        <xdr:cNvPr id="1" name="Chart 1" title="Total sales vs Salesperson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285750</xdr:colOff>
      <xdr:row>37</xdr:row>
      <xdr:rowOff>66675</xdr:rowOff>
    </xdr:from>
    <xdr:ext cx="5381625" cy="3962400"/>
    <xdr:graphicFrame>
      <xdr:nvGraphicFramePr>
        <xdr:cNvPr id="2" name="Chart 2" title="Total sal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228600</xdr:colOff>
      <xdr:row>58</xdr:row>
      <xdr:rowOff>152400</xdr:rowOff>
    </xdr:from>
    <xdr:ext cx="9563100" cy="5229225"/>
    <xdr:graphicFrame>
      <xdr:nvGraphicFramePr>
        <xdr:cNvPr id="3" name="Chart 3" title="Total sales  vs Product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86</xdr:row>
      <xdr:rowOff>9525</xdr:rowOff>
    </xdr:from>
    <xdr:ext cx="9772650" cy="6038850"/>
    <xdr:graphicFrame>
      <xdr:nvGraphicFramePr>
        <xdr:cNvPr id="4" name="Chart 4" title="Net sales vs Da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3">
        <v>46235.0</v>
      </c>
      <c r="C2" s="1" t="s">
        <v>10</v>
      </c>
      <c r="D2" s="1" t="s">
        <v>11</v>
      </c>
      <c r="E2" s="1" t="s">
        <v>12</v>
      </c>
      <c r="F2" s="1">
        <v>2.0</v>
      </c>
      <c r="G2" s="1">
        <v>45000.0</v>
      </c>
      <c r="H2" s="4">
        <v>0.1</v>
      </c>
      <c r="I2" s="1" t="s">
        <v>13</v>
      </c>
    </row>
    <row r="3">
      <c r="A3" s="1" t="s">
        <v>14</v>
      </c>
      <c r="B3" s="3">
        <v>46236.0</v>
      </c>
      <c r="C3" s="1" t="s">
        <v>16</v>
      </c>
      <c r="D3" s="1" t="s">
        <v>18</v>
      </c>
      <c r="E3" s="1" t="s">
        <v>19</v>
      </c>
      <c r="F3" s="1">
        <v>1.0</v>
      </c>
      <c r="G3" s="1">
        <v>2500.0</v>
      </c>
      <c r="H3" s="4">
        <v>0.05</v>
      </c>
      <c r="I3" s="1" t="s">
        <v>23</v>
      </c>
    </row>
    <row r="4">
      <c r="A4" s="1" t="s">
        <v>24</v>
      </c>
      <c r="B4" s="3">
        <v>46237.0</v>
      </c>
      <c r="C4" s="1" t="s">
        <v>26</v>
      </c>
      <c r="D4" s="1" t="s">
        <v>27</v>
      </c>
      <c r="E4" s="1" t="s">
        <v>12</v>
      </c>
      <c r="F4" s="1">
        <v>1.0</v>
      </c>
      <c r="G4" s="1">
        <v>28000.0</v>
      </c>
      <c r="H4" s="4">
        <v>0.08</v>
      </c>
      <c r="I4" s="1" t="s">
        <v>13</v>
      </c>
    </row>
    <row r="5">
      <c r="A5" s="1" t="s">
        <v>28</v>
      </c>
      <c r="B5" s="3">
        <v>46238.0</v>
      </c>
      <c r="C5" s="1" t="s">
        <v>29</v>
      </c>
      <c r="D5" s="1" t="s">
        <v>30</v>
      </c>
      <c r="E5" s="1" t="s">
        <v>19</v>
      </c>
      <c r="F5" s="1">
        <v>3.0</v>
      </c>
      <c r="G5" s="1">
        <v>800.0</v>
      </c>
      <c r="H5" s="4">
        <v>0.1</v>
      </c>
      <c r="I5" s="1" t="s">
        <v>31</v>
      </c>
    </row>
    <row r="6">
      <c r="A6" s="1" t="s">
        <v>32</v>
      </c>
      <c r="B6" s="3">
        <v>46239.0</v>
      </c>
      <c r="C6" s="1" t="s">
        <v>34</v>
      </c>
      <c r="D6" s="1" t="s">
        <v>35</v>
      </c>
      <c r="E6" s="1" t="s">
        <v>12</v>
      </c>
      <c r="F6" s="1">
        <v>2.0</v>
      </c>
      <c r="G6" s="1">
        <v>2200.0</v>
      </c>
      <c r="H6" s="4">
        <v>0.05</v>
      </c>
      <c r="I6" s="1" t="s">
        <v>36</v>
      </c>
    </row>
    <row r="7">
      <c r="A7" s="1" t="s">
        <v>37</v>
      </c>
      <c r="B7" s="3">
        <v>46240.0</v>
      </c>
      <c r="C7" s="1" t="s">
        <v>39</v>
      </c>
      <c r="D7" s="1" t="s">
        <v>40</v>
      </c>
      <c r="E7" s="1" t="s">
        <v>42</v>
      </c>
      <c r="F7" s="1">
        <v>2.0</v>
      </c>
      <c r="G7" s="1">
        <v>1800.0</v>
      </c>
      <c r="H7" s="4">
        <v>0.1</v>
      </c>
      <c r="I7" s="1" t="s">
        <v>43</v>
      </c>
    </row>
    <row r="8">
      <c r="A8" s="1" t="s">
        <v>44</v>
      </c>
      <c r="B8" s="3">
        <v>46241.0</v>
      </c>
      <c r="C8" s="1" t="s">
        <v>45</v>
      </c>
      <c r="D8" s="1" t="s">
        <v>46</v>
      </c>
      <c r="E8" s="1" t="s">
        <v>12</v>
      </c>
      <c r="F8" s="1">
        <v>1.0</v>
      </c>
      <c r="G8" s="1">
        <v>22000.0</v>
      </c>
      <c r="H8" s="4">
        <v>0.12</v>
      </c>
      <c r="I8" s="1" t="s">
        <v>36</v>
      </c>
    </row>
    <row r="9">
      <c r="A9" s="1" t="s">
        <v>47</v>
      </c>
      <c r="B9" s="3">
        <v>46242.0</v>
      </c>
      <c r="C9" s="1" t="s">
        <v>48</v>
      </c>
      <c r="D9" s="1" t="s">
        <v>49</v>
      </c>
      <c r="E9" s="1" t="s">
        <v>19</v>
      </c>
      <c r="F9" s="1">
        <v>2.0</v>
      </c>
      <c r="G9" s="1">
        <v>1800.0</v>
      </c>
      <c r="H9" s="4">
        <v>0.05</v>
      </c>
      <c r="I9" s="1" t="s">
        <v>43</v>
      </c>
    </row>
    <row r="10">
      <c r="A10" s="1" t="s">
        <v>50</v>
      </c>
      <c r="B10" s="3">
        <v>46243.0</v>
      </c>
      <c r="C10" s="1" t="s">
        <v>51</v>
      </c>
      <c r="D10" s="1" t="s">
        <v>52</v>
      </c>
      <c r="E10" s="1" t="s">
        <v>12</v>
      </c>
      <c r="F10" s="1">
        <v>3.0</v>
      </c>
      <c r="G10" s="1">
        <v>1500.0</v>
      </c>
      <c r="H10" s="4">
        <v>0.08</v>
      </c>
      <c r="I10" s="1" t="s">
        <v>36</v>
      </c>
    </row>
    <row r="11">
      <c r="A11" s="1" t="s">
        <v>53</v>
      </c>
      <c r="B11" s="3">
        <v>46244.0</v>
      </c>
      <c r="C11" s="1" t="s">
        <v>54</v>
      </c>
      <c r="D11" s="1" t="s">
        <v>55</v>
      </c>
      <c r="E11" s="1" t="s">
        <v>42</v>
      </c>
      <c r="F11" s="1">
        <v>1.0</v>
      </c>
      <c r="G11" s="1">
        <v>3500.0</v>
      </c>
      <c r="H11" s="4">
        <v>0.1</v>
      </c>
      <c r="I11" s="1" t="s">
        <v>57</v>
      </c>
    </row>
    <row r="12">
      <c r="A12" s="1" t="s">
        <v>58</v>
      </c>
      <c r="B12" s="3">
        <v>46245.0</v>
      </c>
      <c r="C12" s="1" t="s">
        <v>10</v>
      </c>
      <c r="D12" s="1" t="s">
        <v>59</v>
      </c>
      <c r="E12" s="1" t="s">
        <v>12</v>
      </c>
      <c r="F12" s="1">
        <v>2.0</v>
      </c>
      <c r="G12" s="1">
        <v>12000.0</v>
      </c>
      <c r="H12" s="4">
        <v>0.15</v>
      </c>
      <c r="I12" s="1" t="s">
        <v>23</v>
      </c>
    </row>
    <row r="13">
      <c r="A13" s="1" t="s">
        <v>60</v>
      </c>
      <c r="B13" s="3">
        <v>46246.0</v>
      </c>
      <c r="C13" s="1" t="s">
        <v>16</v>
      </c>
      <c r="D13" s="1" t="s">
        <v>62</v>
      </c>
      <c r="E13" s="1" t="s">
        <v>19</v>
      </c>
      <c r="F13" s="1">
        <v>1.0</v>
      </c>
      <c r="G13" s="1">
        <v>3200.0</v>
      </c>
      <c r="H13" s="4">
        <v>0.05</v>
      </c>
      <c r="I13" s="1" t="s">
        <v>36</v>
      </c>
    </row>
    <row r="14">
      <c r="A14" s="1" t="s">
        <v>63</v>
      </c>
      <c r="B14" s="3">
        <v>46247.0</v>
      </c>
      <c r="C14" s="1" t="s">
        <v>26</v>
      </c>
      <c r="D14" s="1" t="s">
        <v>64</v>
      </c>
      <c r="E14" s="1" t="s">
        <v>12</v>
      </c>
      <c r="F14" s="1">
        <v>4.0</v>
      </c>
      <c r="G14" s="1">
        <v>750.0</v>
      </c>
      <c r="H14" s="4">
        <v>0.05</v>
      </c>
      <c r="I14" s="1" t="s">
        <v>36</v>
      </c>
    </row>
    <row r="15">
      <c r="A15" s="1" t="s">
        <v>66</v>
      </c>
      <c r="B15" s="3">
        <v>46248.0</v>
      </c>
      <c r="C15" s="1" t="s">
        <v>29</v>
      </c>
      <c r="D15" s="1" t="s">
        <v>67</v>
      </c>
      <c r="E15" s="1" t="s">
        <v>19</v>
      </c>
      <c r="F15" s="1">
        <v>1.0</v>
      </c>
      <c r="G15" s="1">
        <v>4500.0</v>
      </c>
      <c r="H15" s="4">
        <v>0.12</v>
      </c>
      <c r="I15" s="1" t="s">
        <v>43</v>
      </c>
    </row>
    <row r="16">
      <c r="A16" s="1" t="s">
        <v>68</v>
      </c>
      <c r="B16" s="3">
        <v>46249.0</v>
      </c>
      <c r="C16" s="1" t="s">
        <v>34</v>
      </c>
      <c r="D16" s="1" t="s">
        <v>69</v>
      </c>
      <c r="E16" s="1" t="s">
        <v>12</v>
      </c>
      <c r="F16" s="1">
        <v>2.0</v>
      </c>
      <c r="G16" s="1">
        <v>1400.0</v>
      </c>
      <c r="H16" s="4">
        <v>0.08</v>
      </c>
      <c r="I16" s="1" t="s">
        <v>36</v>
      </c>
    </row>
    <row r="17">
      <c r="A17" s="1" t="s">
        <v>70</v>
      </c>
      <c r="B17" s="3">
        <v>46250.0</v>
      </c>
      <c r="C17" s="1" t="s">
        <v>39</v>
      </c>
      <c r="D17" s="1" t="s">
        <v>71</v>
      </c>
      <c r="E17" s="1" t="s">
        <v>19</v>
      </c>
      <c r="F17" s="1">
        <v>2.0</v>
      </c>
      <c r="G17" s="1">
        <v>2800.0</v>
      </c>
      <c r="H17" s="4">
        <v>0.1</v>
      </c>
      <c r="I17" s="1" t="s">
        <v>23</v>
      </c>
    </row>
    <row r="18">
      <c r="A18" s="1" t="s">
        <v>72</v>
      </c>
      <c r="B18" s="3">
        <v>46251.0</v>
      </c>
      <c r="C18" s="1" t="s">
        <v>45</v>
      </c>
      <c r="D18" s="1" t="s">
        <v>11</v>
      </c>
      <c r="E18" s="1" t="s">
        <v>12</v>
      </c>
      <c r="F18" s="1">
        <v>1.0</v>
      </c>
      <c r="G18" s="1">
        <v>52000.0</v>
      </c>
      <c r="H18" s="4">
        <v>0.15</v>
      </c>
      <c r="I18" s="1" t="s">
        <v>36</v>
      </c>
    </row>
    <row r="19">
      <c r="A19" s="1" t="s">
        <v>75</v>
      </c>
      <c r="B19" s="3">
        <v>46252.0</v>
      </c>
      <c r="C19" s="1" t="s">
        <v>48</v>
      </c>
      <c r="D19" s="1" t="s">
        <v>77</v>
      </c>
      <c r="E19" s="1" t="s">
        <v>42</v>
      </c>
      <c r="F19" s="1">
        <v>3.0</v>
      </c>
      <c r="G19" s="1">
        <v>1600.0</v>
      </c>
      <c r="H19" s="4">
        <v>0.05</v>
      </c>
      <c r="I19" s="1" t="s">
        <v>78</v>
      </c>
    </row>
    <row r="20">
      <c r="A20" s="1" t="s">
        <v>79</v>
      </c>
      <c r="B20" s="3">
        <v>46253.0</v>
      </c>
      <c r="C20" s="1" t="s">
        <v>51</v>
      </c>
      <c r="D20" s="1" t="s">
        <v>27</v>
      </c>
      <c r="E20" s="1" t="s">
        <v>12</v>
      </c>
      <c r="F20" s="1">
        <v>2.0</v>
      </c>
      <c r="G20" s="1">
        <v>30000.0</v>
      </c>
      <c r="H20" s="4">
        <v>0.1</v>
      </c>
      <c r="I20" s="1" t="s">
        <v>23</v>
      </c>
    </row>
    <row r="21">
      <c r="A21" s="1" t="s">
        <v>80</v>
      </c>
      <c r="B21" s="3">
        <v>46254.0</v>
      </c>
      <c r="C21" s="1" t="s">
        <v>54</v>
      </c>
      <c r="D21" s="1" t="s">
        <v>30</v>
      </c>
      <c r="E21" s="1" t="s">
        <v>19</v>
      </c>
      <c r="F21" s="1">
        <v>4.0</v>
      </c>
      <c r="G21" s="1">
        <v>750.0</v>
      </c>
      <c r="H21" s="4">
        <v>0.05</v>
      </c>
      <c r="I21" s="1" t="s">
        <v>36</v>
      </c>
    </row>
    <row r="22">
      <c r="A22" s="1" t="s">
        <v>81</v>
      </c>
      <c r="B22" s="3">
        <v>46255.0</v>
      </c>
      <c r="C22" s="1" t="s">
        <v>10</v>
      </c>
      <c r="D22" s="1" t="s">
        <v>46</v>
      </c>
      <c r="E22" s="1" t="s">
        <v>12</v>
      </c>
      <c r="F22" s="1">
        <v>2.0</v>
      </c>
      <c r="G22" s="1">
        <v>24000.0</v>
      </c>
      <c r="H22" s="4">
        <v>0.12</v>
      </c>
      <c r="I22" s="1" t="s">
        <v>23</v>
      </c>
    </row>
    <row r="23">
      <c r="A23" s="1" t="s">
        <v>82</v>
      </c>
      <c r="B23" s="3">
        <v>46256.0</v>
      </c>
      <c r="C23" s="1" t="s">
        <v>16</v>
      </c>
      <c r="D23" s="1" t="s">
        <v>49</v>
      </c>
      <c r="E23" s="1" t="s">
        <v>19</v>
      </c>
      <c r="F23" s="1">
        <v>3.0</v>
      </c>
      <c r="G23" s="1">
        <v>1900.0</v>
      </c>
      <c r="H23" s="4">
        <v>0.08</v>
      </c>
      <c r="I23" s="1" t="s">
        <v>36</v>
      </c>
    </row>
    <row r="24">
      <c r="A24" s="1" t="s">
        <v>84</v>
      </c>
      <c r="B24" s="3">
        <v>46257.0</v>
      </c>
      <c r="C24" s="1" t="s">
        <v>26</v>
      </c>
      <c r="D24" s="1" t="s">
        <v>35</v>
      </c>
      <c r="E24" s="1" t="s">
        <v>12</v>
      </c>
      <c r="F24" s="1">
        <v>3.0</v>
      </c>
      <c r="G24" s="1">
        <v>2500.0</v>
      </c>
      <c r="H24" s="4">
        <v>0.1</v>
      </c>
      <c r="I24" s="1" t="s">
        <v>36</v>
      </c>
    </row>
    <row r="25">
      <c r="A25" s="1" t="s">
        <v>85</v>
      </c>
      <c r="B25" s="3">
        <v>46258.0</v>
      </c>
      <c r="C25" s="1" t="s">
        <v>29</v>
      </c>
      <c r="D25" s="1" t="s">
        <v>55</v>
      </c>
      <c r="E25" s="1" t="s">
        <v>42</v>
      </c>
      <c r="F25" s="1">
        <v>2.0</v>
      </c>
      <c r="G25" s="1">
        <v>4200.0</v>
      </c>
      <c r="H25" s="4">
        <v>0.15</v>
      </c>
      <c r="I25" s="1" t="s">
        <v>23</v>
      </c>
    </row>
    <row r="26">
      <c r="A26" s="1" t="s">
        <v>87</v>
      </c>
      <c r="B26" s="3">
        <v>46259.0</v>
      </c>
      <c r="C26" s="1" t="s">
        <v>34</v>
      </c>
      <c r="D26" s="1" t="s">
        <v>52</v>
      </c>
      <c r="E26" s="1" t="s">
        <v>12</v>
      </c>
      <c r="F26" s="1">
        <v>2.0</v>
      </c>
      <c r="G26" s="1">
        <v>1700.0</v>
      </c>
      <c r="H26" s="4">
        <v>0.05</v>
      </c>
      <c r="I26" s="1" t="s">
        <v>31</v>
      </c>
    </row>
    <row r="27">
      <c r="A27" s="1" t="s">
        <v>88</v>
      </c>
      <c r="B27" s="3">
        <v>46260.0</v>
      </c>
      <c r="C27" s="1" t="s">
        <v>39</v>
      </c>
      <c r="D27" s="1" t="s">
        <v>67</v>
      </c>
      <c r="E27" s="1" t="s">
        <v>19</v>
      </c>
      <c r="F27" s="1">
        <v>1.0</v>
      </c>
      <c r="G27" s="1">
        <v>4800.0</v>
      </c>
      <c r="H27" s="4">
        <v>0.1</v>
      </c>
      <c r="I27" s="1" t="s">
        <v>36</v>
      </c>
    </row>
    <row r="28">
      <c r="A28" s="1" t="s">
        <v>89</v>
      </c>
      <c r="B28" s="3">
        <v>46261.0</v>
      </c>
      <c r="C28" s="1" t="s">
        <v>45</v>
      </c>
      <c r="D28" s="1" t="s">
        <v>59</v>
      </c>
      <c r="E28" s="1" t="s">
        <v>12</v>
      </c>
      <c r="F28" s="1">
        <v>1.0</v>
      </c>
      <c r="G28" s="1">
        <v>13500.0</v>
      </c>
      <c r="H28" s="4">
        <v>0.08</v>
      </c>
      <c r="I28" s="1" t="s">
        <v>43</v>
      </c>
    </row>
    <row r="29">
      <c r="A29" s="1" t="s">
        <v>91</v>
      </c>
      <c r="B29" s="3">
        <v>46262.0</v>
      </c>
      <c r="C29" s="1" t="s">
        <v>48</v>
      </c>
      <c r="D29" s="1" t="s">
        <v>62</v>
      </c>
      <c r="E29" s="1" t="s">
        <v>19</v>
      </c>
      <c r="F29" s="1">
        <v>2.0</v>
      </c>
      <c r="G29" s="1">
        <v>3500.0</v>
      </c>
      <c r="H29" s="4">
        <v>0.12</v>
      </c>
      <c r="I29" s="1" t="s">
        <v>36</v>
      </c>
    </row>
    <row r="30">
      <c r="A30" s="1" t="s">
        <v>93</v>
      </c>
      <c r="B30" s="3">
        <v>46263.0</v>
      </c>
      <c r="C30" s="1" t="s">
        <v>51</v>
      </c>
      <c r="D30" s="1" t="s">
        <v>95</v>
      </c>
      <c r="E30" s="1" t="s">
        <v>12</v>
      </c>
      <c r="F30" s="1">
        <v>5.0</v>
      </c>
      <c r="G30" s="1">
        <v>700.0</v>
      </c>
      <c r="H30" s="4">
        <v>0.05</v>
      </c>
      <c r="I30" s="1" t="s">
        <v>31</v>
      </c>
    </row>
    <row r="31">
      <c r="A31" s="1" t="s">
        <v>97</v>
      </c>
      <c r="B31" s="3">
        <v>46264.0</v>
      </c>
      <c r="C31" s="1" t="s">
        <v>54</v>
      </c>
      <c r="D31" s="1" t="s">
        <v>77</v>
      </c>
      <c r="E31" s="1" t="s">
        <v>42</v>
      </c>
      <c r="F31" s="1">
        <v>2.0</v>
      </c>
      <c r="G31" s="1">
        <v>2000.0</v>
      </c>
      <c r="H31" s="4">
        <v>0.1</v>
      </c>
      <c r="I31" s="1" t="s">
        <v>43</v>
      </c>
    </row>
    <row r="32">
      <c r="A32" s="1" t="s">
        <v>99</v>
      </c>
      <c r="B32" s="3">
        <v>46265.0</v>
      </c>
      <c r="C32" s="1" t="s">
        <v>10</v>
      </c>
      <c r="D32" s="1" t="s">
        <v>27</v>
      </c>
      <c r="E32" s="1" t="s">
        <v>12</v>
      </c>
      <c r="F32" s="1">
        <v>1.0</v>
      </c>
      <c r="G32" s="1">
        <v>32000.0</v>
      </c>
      <c r="H32" s="4">
        <v>0.15</v>
      </c>
      <c r="I32" s="1" t="s">
        <v>36</v>
      </c>
    </row>
    <row r="33">
      <c r="A33" s="1" t="s">
        <v>100</v>
      </c>
      <c r="B33" s="3">
        <v>46266.0</v>
      </c>
      <c r="C33" s="1" t="s">
        <v>16</v>
      </c>
      <c r="D33" s="1" t="s">
        <v>18</v>
      </c>
      <c r="E33" s="1" t="s">
        <v>19</v>
      </c>
      <c r="F33" s="1">
        <v>2.0</v>
      </c>
      <c r="G33" s="1">
        <v>2600.0</v>
      </c>
      <c r="H33" s="4">
        <v>0.08</v>
      </c>
      <c r="I33" s="1" t="s">
        <v>43</v>
      </c>
    </row>
    <row r="34">
      <c r="A34" s="1" t="s">
        <v>102</v>
      </c>
      <c r="B34" s="3">
        <v>46267.0</v>
      </c>
      <c r="C34" s="1" t="s">
        <v>26</v>
      </c>
      <c r="D34" s="1" t="s">
        <v>11</v>
      </c>
      <c r="E34" s="1" t="s">
        <v>12</v>
      </c>
      <c r="F34" s="1">
        <v>1.0</v>
      </c>
      <c r="G34" s="1">
        <v>48000.0</v>
      </c>
      <c r="H34" s="4">
        <v>0.1</v>
      </c>
      <c r="I34" s="1" t="s">
        <v>36</v>
      </c>
    </row>
    <row r="35">
      <c r="A35" s="1" t="s">
        <v>103</v>
      </c>
      <c r="B35" s="3">
        <v>46268.0</v>
      </c>
      <c r="C35" s="1" t="s">
        <v>29</v>
      </c>
      <c r="D35" s="1" t="s">
        <v>30</v>
      </c>
      <c r="E35" s="1" t="s">
        <v>19</v>
      </c>
      <c r="F35" s="1">
        <v>5.0</v>
      </c>
      <c r="G35" s="1">
        <v>900.0</v>
      </c>
      <c r="H35" s="4">
        <v>0.05</v>
      </c>
      <c r="I35" s="1" t="s">
        <v>31</v>
      </c>
    </row>
    <row r="36">
      <c r="A36" s="1" t="s">
        <v>104</v>
      </c>
      <c r="B36" s="3">
        <v>46269.0</v>
      </c>
      <c r="C36" s="1" t="s">
        <v>34</v>
      </c>
      <c r="D36" s="1" t="s">
        <v>69</v>
      </c>
      <c r="E36" s="1" t="s">
        <v>12</v>
      </c>
      <c r="F36" s="1">
        <v>3.0</v>
      </c>
      <c r="G36" s="1">
        <v>1300.0</v>
      </c>
      <c r="H36" s="4">
        <v>0.08</v>
      </c>
      <c r="I36" s="1" t="s">
        <v>23</v>
      </c>
    </row>
    <row r="37">
      <c r="A37" s="1" t="s">
        <v>105</v>
      </c>
      <c r="B37" s="3">
        <v>46270.0</v>
      </c>
      <c r="C37" s="1" t="s">
        <v>39</v>
      </c>
      <c r="D37" s="1" t="s">
        <v>55</v>
      </c>
      <c r="E37" s="1" t="s">
        <v>42</v>
      </c>
      <c r="F37" s="1">
        <v>1.0</v>
      </c>
      <c r="G37" s="1">
        <v>5000.0</v>
      </c>
      <c r="H37" s="4">
        <v>0.12</v>
      </c>
      <c r="I37" s="1" t="s">
        <v>13</v>
      </c>
    </row>
    <row r="38">
      <c r="A38" s="1" t="s">
        <v>106</v>
      </c>
      <c r="B38" s="3">
        <v>46271.0</v>
      </c>
      <c r="C38" s="1" t="s">
        <v>45</v>
      </c>
      <c r="D38" s="1" t="s">
        <v>46</v>
      </c>
      <c r="E38" s="1" t="s">
        <v>12</v>
      </c>
      <c r="F38" s="1">
        <v>2.0</v>
      </c>
      <c r="G38" s="1">
        <v>21000.0</v>
      </c>
      <c r="H38" s="4">
        <v>0.15</v>
      </c>
      <c r="I38" s="1" t="s">
        <v>43</v>
      </c>
    </row>
    <row r="39">
      <c r="A39" s="1" t="s">
        <v>107</v>
      </c>
      <c r="B39" s="3">
        <v>46272.0</v>
      </c>
      <c r="C39" s="1" t="s">
        <v>48</v>
      </c>
      <c r="D39" s="1" t="s">
        <v>49</v>
      </c>
      <c r="E39" s="1" t="s">
        <v>19</v>
      </c>
      <c r="F39" s="1">
        <v>2.0</v>
      </c>
      <c r="G39" s="1">
        <v>2100.0</v>
      </c>
      <c r="H39" s="4">
        <v>0.1</v>
      </c>
      <c r="I39" s="1" t="s">
        <v>36</v>
      </c>
    </row>
    <row r="40">
      <c r="A40" s="1" t="s">
        <v>108</v>
      </c>
      <c r="B40" s="3">
        <v>46273.0</v>
      </c>
      <c r="C40" s="1" t="s">
        <v>51</v>
      </c>
      <c r="D40" s="1" t="s">
        <v>35</v>
      </c>
      <c r="E40" s="1" t="s">
        <v>12</v>
      </c>
      <c r="F40" s="1">
        <v>4.0</v>
      </c>
      <c r="G40" s="1">
        <v>2300.0</v>
      </c>
      <c r="H40" s="4">
        <v>0.05</v>
      </c>
      <c r="I40" s="1" t="s">
        <v>31</v>
      </c>
    </row>
    <row r="41">
      <c r="A41" s="1" t="s">
        <v>109</v>
      </c>
      <c r="B41" s="3">
        <v>46274.0</v>
      </c>
      <c r="C41" s="1" t="s">
        <v>54</v>
      </c>
      <c r="D41" s="1" t="s">
        <v>110</v>
      </c>
      <c r="E41" s="1" t="s">
        <v>19</v>
      </c>
      <c r="F41" s="1">
        <v>2.0</v>
      </c>
      <c r="G41" s="1">
        <v>4200.0</v>
      </c>
      <c r="H41" s="4">
        <v>0.12</v>
      </c>
      <c r="I41" s="1" t="s">
        <v>36</v>
      </c>
    </row>
    <row r="42">
      <c r="A42" s="1" t="s">
        <v>111</v>
      </c>
      <c r="B42" s="3">
        <v>46275.0</v>
      </c>
      <c r="C42" s="1" t="s">
        <v>10</v>
      </c>
      <c r="D42" s="1" t="s">
        <v>59</v>
      </c>
      <c r="E42" s="1" t="s">
        <v>12</v>
      </c>
      <c r="F42" s="1">
        <v>2.0</v>
      </c>
      <c r="G42" s="1">
        <v>12500.0</v>
      </c>
      <c r="H42" s="4">
        <v>0.1</v>
      </c>
      <c r="I42" s="1" t="s">
        <v>43</v>
      </c>
    </row>
    <row r="43">
      <c r="A43" s="1" t="s">
        <v>112</v>
      </c>
      <c r="B43" s="3">
        <v>46276.0</v>
      </c>
      <c r="C43" s="1" t="s">
        <v>16</v>
      </c>
      <c r="D43" s="1" t="s">
        <v>113</v>
      </c>
      <c r="E43" s="1" t="s">
        <v>19</v>
      </c>
      <c r="F43" s="1">
        <v>3.0</v>
      </c>
      <c r="G43" s="1">
        <v>3000.0</v>
      </c>
      <c r="H43" s="4">
        <v>0.08</v>
      </c>
      <c r="I43" s="1" t="s">
        <v>36</v>
      </c>
    </row>
    <row r="44">
      <c r="A44" s="1" t="s">
        <v>114</v>
      </c>
      <c r="B44" s="3">
        <v>46277.0</v>
      </c>
      <c r="C44" s="1" t="s">
        <v>26</v>
      </c>
      <c r="D44" s="1" t="s">
        <v>52</v>
      </c>
      <c r="E44" s="1" t="s">
        <v>12</v>
      </c>
      <c r="F44" s="1">
        <v>4.0</v>
      </c>
      <c r="G44" s="1">
        <v>1600.0</v>
      </c>
      <c r="H44" s="4">
        <v>0.05</v>
      </c>
      <c r="I44" s="1" t="s">
        <v>23</v>
      </c>
    </row>
    <row r="45">
      <c r="A45" s="1" t="s">
        <v>115</v>
      </c>
      <c r="B45" s="3">
        <v>46278.0</v>
      </c>
      <c r="C45" s="1" t="s">
        <v>29</v>
      </c>
      <c r="D45" s="1" t="s">
        <v>18</v>
      </c>
      <c r="E45" s="1" t="s">
        <v>19</v>
      </c>
      <c r="F45" s="1">
        <v>1.0</v>
      </c>
      <c r="G45" s="1">
        <v>3200.0</v>
      </c>
      <c r="H45" s="4">
        <v>0.1</v>
      </c>
      <c r="I45" s="1" t="s">
        <v>36</v>
      </c>
    </row>
    <row r="46">
      <c r="A46" s="1" t="s">
        <v>117</v>
      </c>
      <c r="B46" s="3">
        <v>46279.0</v>
      </c>
      <c r="C46" s="1" t="s">
        <v>34</v>
      </c>
      <c r="D46" s="1" t="s">
        <v>27</v>
      </c>
      <c r="E46" s="1" t="s">
        <v>12</v>
      </c>
      <c r="F46" s="1">
        <v>1.0</v>
      </c>
      <c r="G46" s="1">
        <v>29000.0</v>
      </c>
      <c r="H46" s="4">
        <v>0.15</v>
      </c>
      <c r="I46" s="1" t="s">
        <v>31</v>
      </c>
    </row>
    <row r="47">
      <c r="A47" s="1" t="s">
        <v>119</v>
      </c>
      <c r="B47" s="3">
        <v>46280.0</v>
      </c>
      <c r="C47" s="1" t="s">
        <v>39</v>
      </c>
      <c r="D47" s="1" t="s">
        <v>77</v>
      </c>
      <c r="E47" s="1" t="s">
        <v>42</v>
      </c>
      <c r="F47" s="1">
        <v>2.0</v>
      </c>
      <c r="G47" s="1">
        <v>1900.0</v>
      </c>
      <c r="H47" s="4">
        <v>0.05</v>
      </c>
      <c r="I47" s="1" t="s">
        <v>23</v>
      </c>
    </row>
    <row r="48">
      <c r="A48" s="1" t="s">
        <v>120</v>
      </c>
      <c r="B48" s="3">
        <v>46281.0</v>
      </c>
      <c r="C48" s="1" t="s">
        <v>45</v>
      </c>
      <c r="D48" s="1" t="s">
        <v>11</v>
      </c>
      <c r="E48" s="1" t="s">
        <v>12</v>
      </c>
      <c r="F48" s="1">
        <v>1.0</v>
      </c>
      <c r="G48" s="1">
        <v>55000.0</v>
      </c>
      <c r="H48" s="4">
        <v>0.12</v>
      </c>
      <c r="I48" s="1" t="s">
        <v>36</v>
      </c>
    </row>
    <row r="49">
      <c r="A49" s="1" t="s">
        <v>121</v>
      </c>
      <c r="B49" s="3">
        <v>46282.0</v>
      </c>
      <c r="C49" s="1" t="s">
        <v>48</v>
      </c>
      <c r="D49" s="1" t="s">
        <v>30</v>
      </c>
      <c r="E49" s="1" t="s">
        <v>122</v>
      </c>
      <c r="F49" s="1">
        <v>3.0</v>
      </c>
      <c r="G49" s="1">
        <v>850.0</v>
      </c>
      <c r="H49" s="4">
        <v>0.05</v>
      </c>
      <c r="I49" s="1" t="s">
        <v>36</v>
      </c>
    </row>
    <row r="50">
      <c r="A50" s="1" t="s">
        <v>123</v>
      </c>
      <c r="B50" s="3">
        <v>46283.0</v>
      </c>
      <c r="C50" s="1" t="s">
        <v>51</v>
      </c>
      <c r="D50" s="1" t="s">
        <v>46</v>
      </c>
      <c r="E50" s="1" t="s">
        <v>12</v>
      </c>
      <c r="F50" s="1">
        <v>1.0</v>
      </c>
      <c r="G50" s="1">
        <v>23000.0</v>
      </c>
      <c r="H50" s="4">
        <v>0.1</v>
      </c>
      <c r="I50" s="1" t="s">
        <v>78</v>
      </c>
    </row>
    <row r="51">
      <c r="A51" s="1" t="s">
        <v>124</v>
      </c>
      <c r="B51" s="3">
        <v>46284.0</v>
      </c>
      <c r="C51" s="1" t="s">
        <v>54</v>
      </c>
      <c r="D51" s="1" t="s">
        <v>55</v>
      </c>
      <c r="E51" s="1" t="s">
        <v>42</v>
      </c>
      <c r="F51" s="1">
        <v>2.0</v>
      </c>
      <c r="G51" s="1">
        <v>3800.0</v>
      </c>
      <c r="H51" s="4">
        <v>0.08</v>
      </c>
      <c r="I51" s="1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88"/>
    <col customWidth="1" min="12" max="12" width="17.63"/>
  </cols>
  <sheetData>
    <row r="1" ht="29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15</v>
      </c>
      <c r="K1" s="2" t="s">
        <v>17</v>
      </c>
      <c r="L1" s="2" t="s">
        <v>20</v>
      </c>
      <c r="M1" s="2" t="s">
        <v>22</v>
      </c>
      <c r="N1" s="2" t="s">
        <v>25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</v>
      </c>
      <c r="B2" s="10">
        <v>46235.0</v>
      </c>
      <c r="C2" s="8" t="s">
        <v>10</v>
      </c>
      <c r="D2" s="8" t="s">
        <v>11</v>
      </c>
      <c r="E2" s="8" t="s">
        <v>12</v>
      </c>
      <c r="F2" s="8">
        <v>2.0</v>
      </c>
      <c r="G2" s="8">
        <v>45000.0</v>
      </c>
      <c r="H2" s="12">
        <v>0.1</v>
      </c>
      <c r="I2" s="8" t="s">
        <v>13</v>
      </c>
      <c r="J2" s="14" t="str">
        <f t="shared" ref="J2:J51" si="1">IF(COUNTIF($A$2:$A$51,A2)&gt;1,"Duplicate","Unique")</f>
        <v>Unique</v>
      </c>
      <c r="K2" s="14" t="str">
        <f t="shared" ref="K2:K51" si="2">IF(COUNTA(A2:I2)&lt;9,"Missing Data","Complete")</f>
        <v>Complete</v>
      </c>
      <c r="L2" s="14" t="str">
        <f t="shared" ref="L2:L51" si="3">IF(AND(F2&gt;0,G2&gt;0,H2&gt;=0,H2&lt;=100),"Valid","Check")</f>
        <v>Valid</v>
      </c>
      <c r="M2" s="8" t="s">
        <v>73</v>
      </c>
      <c r="N2" s="14">
        <f t="shared" ref="N2:N51" si="4">F2*G2*(1-H2)</f>
        <v>81000</v>
      </c>
    </row>
    <row r="3">
      <c r="A3" s="8" t="s">
        <v>14</v>
      </c>
      <c r="B3" s="10">
        <v>46236.0</v>
      </c>
      <c r="C3" s="8" t="s">
        <v>16</v>
      </c>
      <c r="D3" s="8" t="s">
        <v>18</v>
      </c>
      <c r="E3" s="8" t="s">
        <v>19</v>
      </c>
      <c r="F3" s="8">
        <v>1.0</v>
      </c>
      <c r="G3" s="8">
        <v>2500.0</v>
      </c>
      <c r="H3" s="12">
        <v>0.05</v>
      </c>
      <c r="I3" s="8" t="s">
        <v>23</v>
      </c>
      <c r="J3" s="14" t="str">
        <f t="shared" si="1"/>
        <v>Unique</v>
      </c>
      <c r="K3" s="14" t="str">
        <f t="shared" si="2"/>
        <v>Complete</v>
      </c>
      <c r="L3" s="14" t="str">
        <f t="shared" si="3"/>
        <v>Valid</v>
      </c>
      <c r="M3" s="8" t="s">
        <v>83</v>
      </c>
      <c r="N3" s="14">
        <f t="shared" si="4"/>
        <v>2375</v>
      </c>
    </row>
    <row r="4">
      <c r="A4" s="8" t="s">
        <v>24</v>
      </c>
      <c r="B4" s="10">
        <v>46237.0</v>
      </c>
      <c r="C4" s="8" t="s">
        <v>26</v>
      </c>
      <c r="D4" s="8" t="s">
        <v>27</v>
      </c>
      <c r="E4" s="8" t="s">
        <v>12</v>
      </c>
      <c r="F4" s="8">
        <v>1.0</v>
      </c>
      <c r="G4" s="8">
        <v>28000.0</v>
      </c>
      <c r="H4" s="12">
        <v>0.08</v>
      </c>
      <c r="I4" s="8" t="s">
        <v>13</v>
      </c>
      <c r="J4" s="14" t="str">
        <f t="shared" si="1"/>
        <v>Unique</v>
      </c>
      <c r="K4" s="14" t="str">
        <f t="shared" si="2"/>
        <v>Complete</v>
      </c>
      <c r="L4" s="14" t="str">
        <f t="shared" si="3"/>
        <v>Valid</v>
      </c>
      <c r="M4" s="8" t="s">
        <v>92</v>
      </c>
      <c r="N4" s="14">
        <f t="shared" si="4"/>
        <v>25760</v>
      </c>
    </row>
    <row r="5">
      <c r="A5" s="8" t="s">
        <v>28</v>
      </c>
      <c r="B5" s="10">
        <v>46238.0</v>
      </c>
      <c r="C5" s="8" t="s">
        <v>29</v>
      </c>
      <c r="D5" s="8" t="s">
        <v>30</v>
      </c>
      <c r="E5" s="8" t="s">
        <v>19</v>
      </c>
      <c r="F5" s="8">
        <v>3.0</v>
      </c>
      <c r="G5" s="8">
        <v>800.0</v>
      </c>
      <c r="H5" s="12">
        <v>0.1</v>
      </c>
      <c r="I5" s="8" t="s">
        <v>31</v>
      </c>
      <c r="J5" s="14" t="str">
        <f t="shared" si="1"/>
        <v>Unique</v>
      </c>
      <c r="K5" s="14" t="str">
        <f t="shared" si="2"/>
        <v>Complete</v>
      </c>
      <c r="L5" s="14" t="str">
        <f t="shared" si="3"/>
        <v>Valid</v>
      </c>
      <c r="M5" s="8" t="s">
        <v>101</v>
      </c>
      <c r="N5" s="14">
        <f t="shared" si="4"/>
        <v>2160</v>
      </c>
    </row>
    <row r="6">
      <c r="A6" s="8" t="s">
        <v>32</v>
      </c>
      <c r="B6" s="10">
        <v>46239.0</v>
      </c>
      <c r="C6" s="8" t="s">
        <v>34</v>
      </c>
      <c r="D6" s="8" t="s">
        <v>35</v>
      </c>
      <c r="E6" s="8" t="s">
        <v>12</v>
      </c>
      <c r="F6" s="8">
        <v>2.0</v>
      </c>
      <c r="G6" s="8">
        <v>2200.0</v>
      </c>
      <c r="H6" s="12">
        <v>0.05</v>
      </c>
      <c r="I6" s="8" t="s">
        <v>36</v>
      </c>
      <c r="J6" s="14" t="str">
        <f t="shared" si="1"/>
        <v>Unique</v>
      </c>
      <c r="K6" s="14" t="str">
        <f t="shared" si="2"/>
        <v>Complete</v>
      </c>
      <c r="L6" s="14" t="str">
        <f t="shared" si="3"/>
        <v>Valid</v>
      </c>
      <c r="M6" s="8" t="s">
        <v>73</v>
      </c>
      <c r="N6" s="14">
        <f t="shared" si="4"/>
        <v>4180</v>
      </c>
    </row>
    <row r="7">
      <c r="A7" s="8" t="s">
        <v>37</v>
      </c>
      <c r="B7" s="10">
        <v>46240.0</v>
      </c>
      <c r="C7" s="8" t="s">
        <v>39</v>
      </c>
      <c r="D7" s="8" t="s">
        <v>40</v>
      </c>
      <c r="E7" s="8" t="s">
        <v>42</v>
      </c>
      <c r="F7" s="8">
        <v>2.0</v>
      </c>
      <c r="G7" s="8">
        <v>1800.0</v>
      </c>
      <c r="H7" s="12">
        <v>0.1</v>
      </c>
      <c r="I7" s="8" t="s">
        <v>43</v>
      </c>
      <c r="J7" s="14" t="str">
        <f t="shared" si="1"/>
        <v>Unique</v>
      </c>
      <c r="K7" s="14" t="str">
        <f t="shared" si="2"/>
        <v>Complete</v>
      </c>
      <c r="L7" s="14" t="str">
        <f t="shared" si="3"/>
        <v>Valid</v>
      </c>
      <c r="M7" s="8" t="s">
        <v>83</v>
      </c>
      <c r="N7" s="14">
        <f t="shared" si="4"/>
        <v>3240</v>
      </c>
    </row>
    <row r="8">
      <c r="A8" s="8" t="s">
        <v>44</v>
      </c>
      <c r="B8" s="10">
        <v>46241.0</v>
      </c>
      <c r="C8" s="8" t="s">
        <v>45</v>
      </c>
      <c r="D8" s="8" t="s">
        <v>46</v>
      </c>
      <c r="E8" s="8" t="s">
        <v>12</v>
      </c>
      <c r="F8" s="8">
        <v>1.0</v>
      </c>
      <c r="G8" s="8">
        <v>22000.0</v>
      </c>
      <c r="H8" s="12">
        <v>0.12</v>
      </c>
      <c r="I8" s="8" t="s">
        <v>36</v>
      </c>
      <c r="J8" s="14" t="str">
        <f t="shared" si="1"/>
        <v>Unique</v>
      </c>
      <c r="K8" s="14" t="str">
        <f t="shared" si="2"/>
        <v>Complete</v>
      </c>
      <c r="L8" s="14" t="str">
        <f t="shared" si="3"/>
        <v>Valid</v>
      </c>
      <c r="M8" s="8" t="s">
        <v>92</v>
      </c>
      <c r="N8" s="14">
        <f t="shared" si="4"/>
        <v>19360</v>
      </c>
    </row>
    <row r="9">
      <c r="A9" s="8" t="s">
        <v>47</v>
      </c>
      <c r="B9" s="10">
        <v>46242.0</v>
      </c>
      <c r="C9" s="8" t="s">
        <v>48</v>
      </c>
      <c r="D9" s="8" t="s">
        <v>49</v>
      </c>
      <c r="E9" s="8" t="s">
        <v>19</v>
      </c>
      <c r="F9" s="8">
        <v>2.0</v>
      </c>
      <c r="G9" s="8">
        <v>1800.0</v>
      </c>
      <c r="H9" s="12">
        <v>0.05</v>
      </c>
      <c r="I9" s="8" t="s">
        <v>43</v>
      </c>
      <c r="J9" s="14" t="str">
        <f t="shared" si="1"/>
        <v>Unique</v>
      </c>
      <c r="K9" s="14" t="str">
        <f t="shared" si="2"/>
        <v>Complete</v>
      </c>
      <c r="L9" s="14" t="str">
        <f t="shared" si="3"/>
        <v>Valid</v>
      </c>
      <c r="M9" s="8" t="s">
        <v>101</v>
      </c>
      <c r="N9" s="14">
        <f t="shared" si="4"/>
        <v>3420</v>
      </c>
    </row>
    <row r="10">
      <c r="A10" s="8" t="s">
        <v>50</v>
      </c>
      <c r="B10" s="10">
        <v>46243.0</v>
      </c>
      <c r="C10" s="8" t="s">
        <v>51</v>
      </c>
      <c r="D10" s="8" t="s">
        <v>52</v>
      </c>
      <c r="E10" s="8" t="s">
        <v>12</v>
      </c>
      <c r="F10" s="8">
        <v>3.0</v>
      </c>
      <c r="G10" s="8">
        <v>1500.0</v>
      </c>
      <c r="H10" s="12">
        <v>0.08</v>
      </c>
      <c r="I10" s="8" t="s">
        <v>36</v>
      </c>
      <c r="J10" s="14" t="str">
        <f t="shared" si="1"/>
        <v>Unique</v>
      </c>
      <c r="K10" s="14" t="str">
        <f t="shared" si="2"/>
        <v>Complete</v>
      </c>
      <c r="L10" s="14" t="str">
        <f t="shared" si="3"/>
        <v>Valid</v>
      </c>
      <c r="M10" s="8" t="s">
        <v>73</v>
      </c>
      <c r="N10" s="14">
        <f t="shared" si="4"/>
        <v>4140</v>
      </c>
    </row>
    <row r="11">
      <c r="A11" s="8" t="s">
        <v>53</v>
      </c>
      <c r="B11" s="10">
        <v>46244.0</v>
      </c>
      <c r="C11" s="8" t="s">
        <v>54</v>
      </c>
      <c r="D11" s="8" t="s">
        <v>55</v>
      </c>
      <c r="E11" s="8" t="s">
        <v>42</v>
      </c>
      <c r="F11" s="8">
        <v>1.0</v>
      </c>
      <c r="G11" s="8">
        <v>3500.0</v>
      </c>
      <c r="H11" s="12">
        <v>0.1</v>
      </c>
      <c r="I11" s="8" t="s">
        <v>57</v>
      </c>
      <c r="J11" s="14" t="str">
        <f t="shared" si="1"/>
        <v>Unique</v>
      </c>
      <c r="K11" s="14" t="str">
        <f t="shared" si="2"/>
        <v>Complete</v>
      </c>
      <c r="L11" s="14" t="str">
        <f t="shared" si="3"/>
        <v>Valid</v>
      </c>
      <c r="M11" s="8" t="s">
        <v>83</v>
      </c>
      <c r="N11" s="14">
        <f t="shared" si="4"/>
        <v>3150</v>
      </c>
    </row>
    <row r="12">
      <c r="A12" s="8" t="s">
        <v>58</v>
      </c>
      <c r="B12" s="10">
        <v>46245.0</v>
      </c>
      <c r="C12" s="8" t="s">
        <v>10</v>
      </c>
      <c r="D12" s="8" t="s">
        <v>59</v>
      </c>
      <c r="E12" s="8" t="s">
        <v>12</v>
      </c>
      <c r="F12" s="8">
        <v>2.0</v>
      </c>
      <c r="G12" s="8">
        <v>12000.0</v>
      </c>
      <c r="H12" s="12">
        <v>0.15</v>
      </c>
      <c r="I12" s="8" t="s">
        <v>23</v>
      </c>
      <c r="J12" s="14" t="str">
        <f t="shared" si="1"/>
        <v>Unique</v>
      </c>
      <c r="K12" s="14" t="str">
        <f t="shared" si="2"/>
        <v>Complete</v>
      </c>
      <c r="L12" s="14" t="str">
        <f t="shared" si="3"/>
        <v>Valid</v>
      </c>
      <c r="M12" s="8" t="s">
        <v>92</v>
      </c>
      <c r="N12" s="14">
        <f t="shared" si="4"/>
        <v>20400</v>
      </c>
    </row>
    <row r="13">
      <c r="A13" s="8" t="s">
        <v>60</v>
      </c>
      <c r="B13" s="10">
        <v>46246.0</v>
      </c>
      <c r="C13" s="8" t="s">
        <v>16</v>
      </c>
      <c r="D13" s="8" t="s">
        <v>62</v>
      </c>
      <c r="E13" s="8" t="s">
        <v>19</v>
      </c>
      <c r="F13" s="8">
        <v>1.0</v>
      </c>
      <c r="G13" s="8">
        <v>3200.0</v>
      </c>
      <c r="H13" s="12">
        <v>0.05</v>
      </c>
      <c r="I13" s="8" t="s">
        <v>36</v>
      </c>
      <c r="J13" s="14" t="str">
        <f t="shared" si="1"/>
        <v>Unique</v>
      </c>
      <c r="K13" s="14" t="str">
        <f t="shared" si="2"/>
        <v>Complete</v>
      </c>
      <c r="L13" s="14" t="str">
        <f t="shared" si="3"/>
        <v>Valid</v>
      </c>
      <c r="M13" s="8" t="s">
        <v>101</v>
      </c>
      <c r="N13" s="14">
        <f t="shared" si="4"/>
        <v>3040</v>
      </c>
    </row>
    <row r="14">
      <c r="A14" s="8" t="s">
        <v>63</v>
      </c>
      <c r="B14" s="10">
        <v>46247.0</v>
      </c>
      <c r="C14" s="8" t="s">
        <v>26</v>
      </c>
      <c r="D14" s="8" t="s">
        <v>64</v>
      </c>
      <c r="E14" s="8" t="s">
        <v>12</v>
      </c>
      <c r="F14" s="8">
        <v>4.0</v>
      </c>
      <c r="G14" s="8">
        <v>750.0</v>
      </c>
      <c r="H14" s="12">
        <v>0.05</v>
      </c>
      <c r="I14" s="8" t="s">
        <v>36</v>
      </c>
      <c r="J14" s="14" t="str">
        <f t="shared" si="1"/>
        <v>Unique</v>
      </c>
      <c r="K14" s="14" t="str">
        <f t="shared" si="2"/>
        <v>Complete</v>
      </c>
      <c r="L14" s="14" t="str">
        <f t="shared" si="3"/>
        <v>Valid</v>
      </c>
      <c r="M14" s="8" t="s">
        <v>73</v>
      </c>
      <c r="N14" s="14">
        <f t="shared" si="4"/>
        <v>2850</v>
      </c>
    </row>
    <row r="15">
      <c r="A15" s="8" t="s">
        <v>66</v>
      </c>
      <c r="B15" s="10">
        <v>46248.0</v>
      </c>
      <c r="C15" s="8" t="s">
        <v>29</v>
      </c>
      <c r="D15" s="8" t="s">
        <v>67</v>
      </c>
      <c r="E15" s="8" t="s">
        <v>19</v>
      </c>
      <c r="F15" s="8">
        <v>1.0</v>
      </c>
      <c r="G15" s="8">
        <v>4500.0</v>
      </c>
      <c r="H15" s="12">
        <v>0.12</v>
      </c>
      <c r="I15" s="8" t="s">
        <v>43</v>
      </c>
      <c r="J15" s="14" t="str">
        <f t="shared" si="1"/>
        <v>Unique</v>
      </c>
      <c r="K15" s="14" t="str">
        <f t="shared" si="2"/>
        <v>Complete</v>
      </c>
      <c r="L15" s="14" t="str">
        <f t="shared" si="3"/>
        <v>Valid</v>
      </c>
      <c r="M15" s="8" t="s">
        <v>83</v>
      </c>
      <c r="N15" s="14">
        <f t="shared" si="4"/>
        <v>3960</v>
      </c>
    </row>
    <row r="16">
      <c r="A16" s="8" t="s">
        <v>68</v>
      </c>
      <c r="B16" s="10">
        <v>46249.0</v>
      </c>
      <c r="C16" s="8" t="s">
        <v>34</v>
      </c>
      <c r="D16" s="8" t="s">
        <v>69</v>
      </c>
      <c r="E16" s="8" t="s">
        <v>12</v>
      </c>
      <c r="F16" s="8">
        <v>2.0</v>
      </c>
      <c r="G16" s="8">
        <v>1400.0</v>
      </c>
      <c r="H16" s="12">
        <v>0.08</v>
      </c>
      <c r="I16" s="8" t="s">
        <v>36</v>
      </c>
      <c r="J16" s="14" t="str">
        <f t="shared" si="1"/>
        <v>Unique</v>
      </c>
      <c r="K16" s="14" t="str">
        <f t="shared" si="2"/>
        <v>Complete</v>
      </c>
      <c r="L16" s="14" t="str">
        <f t="shared" si="3"/>
        <v>Valid</v>
      </c>
      <c r="M16" s="8" t="s">
        <v>92</v>
      </c>
      <c r="N16" s="14">
        <f t="shared" si="4"/>
        <v>2576</v>
      </c>
    </row>
    <row r="17">
      <c r="A17" s="8" t="s">
        <v>70</v>
      </c>
      <c r="B17" s="10">
        <v>46250.0</v>
      </c>
      <c r="C17" s="8" t="s">
        <v>39</v>
      </c>
      <c r="D17" s="8" t="s">
        <v>71</v>
      </c>
      <c r="E17" s="8" t="s">
        <v>19</v>
      </c>
      <c r="F17" s="8">
        <v>2.0</v>
      </c>
      <c r="G17" s="8">
        <v>2800.0</v>
      </c>
      <c r="H17" s="12">
        <v>0.1</v>
      </c>
      <c r="I17" s="8" t="s">
        <v>23</v>
      </c>
      <c r="J17" s="14" t="str">
        <f t="shared" si="1"/>
        <v>Unique</v>
      </c>
      <c r="K17" s="14" t="str">
        <f t="shared" si="2"/>
        <v>Complete</v>
      </c>
      <c r="L17" s="14" t="str">
        <f t="shared" si="3"/>
        <v>Valid</v>
      </c>
      <c r="M17" s="8" t="s">
        <v>101</v>
      </c>
      <c r="N17" s="14">
        <f t="shared" si="4"/>
        <v>5040</v>
      </c>
    </row>
    <row r="18">
      <c r="A18" s="8" t="s">
        <v>72</v>
      </c>
      <c r="B18" s="10">
        <v>46251.0</v>
      </c>
      <c r="C18" s="8" t="s">
        <v>45</v>
      </c>
      <c r="D18" s="8" t="s">
        <v>11</v>
      </c>
      <c r="E18" s="8" t="s">
        <v>12</v>
      </c>
      <c r="F18" s="8">
        <v>1.0</v>
      </c>
      <c r="G18" s="8">
        <v>52000.0</v>
      </c>
      <c r="H18" s="12">
        <v>0.15</v>
      </c>
      <c r="I18" s="8" t="s">
        <v>36</v>
      </c>
      <c r="J18" s="14" t="str">
        <f t="shared" si="1"/>
        <v>Unique</v>
      </c>
      <c r="K18" s="14" t="str">
        <f t="shared" si="2"/>
        <v>Complete</v>
      </c>
      <c r="L18" s="14" t="str">
        <f t="shared" si="3"/>
        <v>Valid</v>
      </c>
      <c r="M18" s="8" t="s">
        <v>73</v>
      </c>
      <c r="N18" s="14">
        <f t="shared" si="4"/>
        <v>44200</v>
      </c>
    </row>
    <row r="19">
      <c r="A19" s="8" t="s">
        <v>75</v>
      </c>
      <c r="B19" s="10">
        <v>46252.0</v>
      </c>
      <c r="C19" s="8" t="s">
        <v>48</v>
      </c>
      <c r="D19" s="8" t="s">
        <v>77</v>
      </c>
      <c r="E19" s="8" t="s">
        <v>42</v>
      </c>
      <c r="F19" s="8">
        <v>3.0</v>
      </c>
      <c r="G19" s="8">
        <v>1600.0</v>
      </c>
      <c r="H19" s="12">
        <v>0.05</v>
      </c>
      <c r="I19" s="8" t="s">
        <v>78</v>
      </c>
      <c r="J19" s="14" t="str">
        <f t="shared" si="1"/>
        <v>Unique</v>
      </c>
      <c r="K19" s="14" t="str">
        <f t="shared" si="2"/>
        <v>Complete</v>
      </c>
      <c r="L19" s="14" t="str">
        <f t="shared" si="3"/>
        <v>Valid</v>
      </c>
      <c r="M19" s="8" t="s">
        <v>83</v>
      </c>
      <c r="N19" s="14">
        <f t="shared" si="4"/>
        <v>4560</v>
      </c>
    </row>
    <row r="20">
      <c r="A20" s="8" t="s">
        <v>79</v>
      </c>
      <c r="B20" s="10">
        <v>46253.0</v>
      </c>
      <c r="C20" s="8" t="s">
        <v>51</v>
      </c>
      <c r="D20" s="8" t="s">
        <v>27</v>
      </c>
      <c r="E20" s="8" t="s">
        <v>12</v>
      </c>
      <c r="F20" s="8">
        <v>2.0</v>
      </c>
      <c r="G20" s="8">
        <v>30000.0</v>
      </c>
      <c r="H20" s="12">
        <v>0.1</v>
      </c>
      <c r="I20" s="8" t="s">
        <v>23</v>
      </c>
      <c r="J20" s="14" t="str">
        <f t="shared" si="1"/>
        <v>Unique</v>
      </c>
      <c r="K20" s="14" t="str">
        <f t="shared" si="2"/>
        <v>Complete</v>
      </c>
      <c r="L20" s="14" t="str">
        <f t="shared" si="3"/>
        <v>Valid</v>
      </c>
      <c r="M20" s="8" t="s">
        <v>92</v>
      </c>
      <c r="N20" s="14">
        <f t="shared" si="4"/>
        <v>54000</v>
      </c>
    </row>
    <row r="21">
      <c r="A21" s="8" t="s">
        <v>80</v>
      </c>
      <c r="B21" s="10">
        <v>46254.0</v>
      </c>
      <c r="C21" s="8" t="s">
        <v>54</v>
      </c>
      <c r="D21" s="8" t="s">
        <v>30</v>
      </c>
      <c r="E21" s="8" t="s">
        <v>19</v>
      </c>
      <c r="F21" s="8">
        <v>4.0</v>
      </c>
      <c r="G21" s="8">
        <v>750.0</v>
      </c>
      <c r="H21" s="12">
        <v>0.05</v>
      </c>
      <c r="I21" s="8" t="s">
        <v>36</v>
      </c>
      <c r="J21" s="14" t="str">
        <f t="shared" si="1"/>
        <v>Unique</v>
      </c>
      <c r="K21" s="14" t="str">
        <f t="shared" si="2"/>
        <v>Complete</v>
      </c>
      <c r="L21" s="14" t="str">
        <f t="shared" si="3"/>
        <v>Valid</v>
      </c>
      <c r="M21" s="8" t="s">
        <v>101</v>
      </c>
      <c r="N21" s="14">
        <f t="shared" si="4"/>
        <v>2850</v>
      </c>
    </row>
    <row r="22">
      <c r="A22" s="8" t="s">
        <v>81</v>
      </c>
      <c r="B22" s="10">
        <v>46255.0</v>
      </c>
      <c r="C22" s="8" t="s">
        <v>10</v>
      </c>
      <c r="D22" s="8" t="s">
        <v>46</v>
      </c>
      <c r="E22" s="8" t="s">
        <v>12</v>
      </c>
      <c r="F22" s="8">
        <v>2.0</v>
      </c>
      <c r="G22" s="8">
        <v>24000.0</v>
      </c>
      <c r="H22" s="12">
        <v>0.12</v>
      </c>
      <c r="I22" s="8" t="s">
        <v>23</v>
      </c>
      <c r="J22" s="14" t="str">
        <f t="shared" si="1"/>
        <v>Unique</v>
      </c>
      <c r="K22" s="14" t="str">
        <f t="shared" si="2"/>
        <v>Complete</v>
      </c>
      <c r="L22" s="14" t="str">
        <f t="shared" si="3"/>
        <v>Valid</v>
      </c>
      <c r="M22" s="8" t="s">
        <v>73</v>
      </c>
      <c r="N22" s="14">
        <f t="shared" si="4"/>
        <v>42240</v>
      </c>
    </row>
    <row r="23">
      <c r="A23" s="8" t="s">
        <v>82</v>
      </c>
      <c r="B23" s="10">
        <v>46256.0</v>
      </c>
      <c r="C23" s="8" t="s">
        <v>16</v>
      </c>
      <c r="D23" s="8" t="s">
        <v>49</v>
      </c>
      <c r="E23" s="8" t="s">
        <v>19</v>
      </c>
      <c r="F23" s="8">
        <v>3.0</v>
      </c>
      <c r="G23" s="8">
        <v>1900.0</v>
      </c>
      <c r="H23" s="12">
        <v>0.08</v>
      </c>
      <c r="I23" s="8" t="s">
        <v>36</v>
      </c>
      <c r="J23" s="14" t="str">
        <f t="shared" si="1"/>
        <v>Unique</v>
      </c>
      <c r="K23" s="14" t="str">
        <f t="shared" si="2"/>
        <v>Complete</v>
      </c>
      <c r="L23" s="14" t="str">
        <f t="shared" si="3"/>
        <v>Valid</v>
      </c>
      <c r="M23" s="8" t="s">
        <v>83</v>
      </c>
      <c r="N23" s="14">
        <f t="shared" si="4"/>
        <v>5244</v>
      </c>
    </row>
    <row r="24">
      <c r="A24" s="8" t="s">
        <v>84</v>
      </c>
      <c r="B24" s="10">
        <v>46257.0</v>
      </c>
      <c r="C24" s="8" t="s">
        <v>26</v>
      </c>
      <c r="D24" s="8" t="s">
        <v>35</v>
      </c>
      <c r="E24" s="8" t="s">
        <v>12</v>
      </c>
      <c r="F24" s="8">
        <v>3.0</v>
      </c>
      <c r="G24" s="8">
        <v>2500.0</v>
      </c>
      <c r="H24" s="12">
        <v>0.1</v>
      </c>
      <c r="I24" s="8" t="s">
        <v>36</v>
      </c>
      <c r="J24" s="14" t="str">
        <f t="shared" si="1"/>
        <v>Unique</v>
      </c>
      <c r="K24" s="14" t="str">
        <f t="shared" si="2"/>
        <v>Complete</v>
      </c>
      <c r="L24" s="14" t="str">
        <f t="shared" si="3"/>
        <v>Valid</v>
      </c>
      <c r="M24" s="8" t="s">
        <v>92</v>
      </c>
      <c r="N24" s="14">
        <f t="shared" si="4"/>
        <v>6750</v>
      </c>
    </row>
    <row r="25">
      <c r="A25" s="8" t="s">
        <v>85</v>
      </c>
      <c r="B25" s="10">
        <v>46258.0</v>
      </c>
      <c r="C25" s="8" t="s">
        <v>29</v>
      </c>
      <c r="D25" s="8" t="s">
        <v>55</v>
      </c>
      <c r="E25" s="8" t="s">
        <v>42</v>
      </c>
      <c r="F25" s="8">
        <v>2.0</v>
      </c>
      <c r="G25" s="8">
        <v>4200.0</v>
      </c>
      <c r="H25" s="12">
        <v>0.15</v>
      </c>
      <c r="I25" s="8" t="s">
        <v>23</v>
      </c>
      <c r="J25" s="14" t="str">
        <f t="shared" si="1"/>
        <v>Unique</v>
      </c>
      <c r="K25" s="14" t="str">
        <f t="shared" si="2"/>
        <v>Complete</v>
      </c>
      <c r="L25" s="14" t="str">
        <f t="shared" si="3"/>
        <v>Valid</v>
      </c>
      <c r="M25" s="8" t="s">
        <v>101</v>
      </c>
      <c r="N25" s="14">
        <f t="shared" si="4"/>
        <v>7140</v>
      </c>
    </row>
    <row r="26">
      <c r="A26" s="8" t="s">
        <v>87</v>
      </c>
      <c r="B26" s="10">
        <v>46259.0</v>
      </c>
      <c r="C26" s="8" t="s">
        <v>34</v>
      </c>
      <c r="D26" s="8" t="s">
        <v>52</v>
      </c>
      <c r="E26" s="8" t="s">
        <v>12</v>
      </c>
      <c r="F26" s="8">
        <v>2.0</v>
      </c>
      <c r="G26" s="8">
        <v>1700.0</v>
      </c>
      <c r="H26" s="12">
        <v>0.05</v>
      </c>
      <c r="I26" s="8" t="s">
        <v>31</v>
      </c>
      <c r="J26" s="14" t="str">
        <f t="shared" si="1"/>
        <v>Unique</v>
      </c>
      <c r="K26" s="14" t="str">
        <f t="shared" si="2"/>
        <v>Complete</v>
      </c>
      <c r="L26" s="14" t="str">
        <f t="shared" si="3"/>
        <v>Valid</v>
      </c>
      <c r="M26" s="8" t="s">
        <v>73</v>
      </c>
      <c r="N26" s="14">
        <f t="shared" si="4"/>
        <v>3230</v>
      </c>
    </row>
    <row r="27">
      <c r="A27" s="8" t="s">
        <v>88</v>
      </c>
      <c r="B27" s="10">
        <v>46260.0</v>
      </c>
      <c r="C27" s="8" t="s">
        <v>39</v>
      </c>
      <c r="D27" s="8" t="s">
        <v>67</v>
      </c>
      <c r="E27" s="8" t="s">
        <v>19</v>
      </c>
      <c r="F27" s="8">
        <v>1.0</v>
      </c>
      <c r="G27" s="8">
        <v>4800.0</v>
      </c>
      <c r="H27" s="12">
        <v>0.1</v>
      </c>
      <c r="I27" s="8" t="s">
        <v>36</v>
      </c>
      <c r="J27" s="14" t="str">
        <f t="shared" si="1"/>
        <v>Unique</v>
      </c>
      <c r="K27" s="14" t="str">
        <f t="shared" si="2"/>
        <v>Complete</v>
      </c>
      <c r="L27" s="14" t="str">
        <f t="shared" si="3"/>
        <v>Valid</v>
      </c>
      <c r="M27" s="8" t="s">
        <v>83</v>
      </c>
      <c r="N27" s="14">
        <f t="shared" si="4"/>
        <v>4320</v>
      </c>
    </row>
    <row r="28">
      <c r="A28" s="8" t="s">
        <v>89</v>
      </c>
      <c r="B28" s="10">
        <v>46261.0</v>
      </c>
      <c r="C28" s="8" t="s">
        <v>45</v>
      </c>
      <c r="D28" s="8" t="s">
        <v>59</v>
      </c>
      <c r="E28" s="8" t="s">
        <v>12</v>
      </c>
      <c r="F28" s="8">
        <v>1.0</v>
      </c>
      <c r="G28" s="8">
        <v>13500.0</v>
      </c>
      <c r="H28" s="12">
        <v>0.08</v>
      </c>
      <c r="I28" s="8" t="s">
        <v>43</v>
      </c>
      <c r="J28" s="14" t="str">
        <f t="shared" si="1"/>
        <v>Unique</v>
      </c>
      <c r="K28" s="14" t="str">
        <f t="shared" si="2"/>
        <v>Complete</v>
      </c>
      <c r="L28" s="14" t="str">
        <f t="shared" si="3"/>
        <v>Valid</v>
      </c>
      <c r="M28" s="8" t="s">
        <v>92</v>
      </c>
      <c r="N28" s="14">
        <f t="shared" si="4"/>
        <v>12420</v>
      </c>
    </row>
    <row r="29">
      <c r="A29" s="8" t="s">
        <v>91</v>
      </c>
      <c r="B29" s="10">
        <v>46262.0</v>
      </c>
      <c r="C29" s="8" t="s">
        <v>48</v>
      </c>
      <c r="D29" s="8" t="s">
        <v>62</v>
      </c>
      <c r="E29" s="8" t="s">
        <v>19</v>
      </c>
      <c r="F29" s="8">
        <v>2.0</v>
      </c>
      <c r="G29" s="8">
        <v>3500.0</v>
      </c>
      <c r="H29" s="12">
        <v>0.12</v>
      </c>
      <c r="I29" s="8" t="s">
        <v>36</v>
      </c>
      <c r="J29" s="14" t="str">
        <f t="shared" si="1"/>
        <v>Unique</v>
      </c>
      <c r="K29" s="14" t="str">
        <f t="shared" si="2"/>
        <v>Complete</v>
      </c>
      <c r="L29" s="14" t="str">
        <f t="shared" si="3"/>
        <v>Valid</v>
      </c>
      <c r="M29" s="8" t="s">
        <v>101</v>
      </c>
      <c r="N29" s="14">
        <f t="shared" si="4"/>
        <v>6160</v>
      </c>
    </row>
    <row r="30">
      <c r="A30" s="8" t="s">
        <v>93</v>
      </c>
      <c r="B30" s="10">
        <v>46263.0</v>
      </c>
      <c r="C30" s="8" t="s">
        <v>51</v>
      </c>
      <c r="D30" s="8" t="s">
        <v>95</v>
      </c>
      <c r="E30" s="8" t="s">
        <v>12</v>
      </c>
      <c r="F30" s="8">
        <v>5.0</v>
      </c>
      <c r="G30" s="8">
        <v>700.0</v>
      </c>
      <c r="H30" s="12">
        <v>0.05</v>
      </c>
      <c r="I30" s="8" t="s">
        <v>31</v>
      </c>
      <c r="J30" s="14" t="str">
        <f t="shared" si="1"/>
        <v>Unique</v>
      </c>
      <c r="K30" s="14" t="str">
        <f t="shared" si="2"/>
        <v>Complete</v>
      </c>
      <c r="L30" s="14" t="str">
        <f t="shared" si="3"/>
        <v>Valid</v>
      </c>
      <c r="M30" s="8" t="s">
        <v>73</v>
      </c>
      <c r="N30" s="14">
        <f t="shared" si="4"/>
        <v>3325</v>
      </c>
    </row>
    <row r="31">
      <c r="A31" s="8" t="s">
        <v>97</v>
      </c>
      <c r="B31" s="10">
        <v>46264.0</v>
      </c>
      <c r="C31" s="8" t="s">
        <v>54</v>
      </c>
      <c r="D31" s="8" t="s">
        <v>77</v>
      </c>
      <c r="E31" s="8" t="s">
        <v>42</v>
      </c>
      <c r="F31" s="8">
        <v>2.0</v>
      </c>
      <c r="G31" s="8">
        <v>2000.0</v>
      </c>
      <c r="H31" s="12">
        <v>0.1</v>
      </c>
      <c r="I31" s="8" t="s">
        <v>43</v>
      </c>
      <c r="J31" s="14" t="str">
        <f t="shared" si="1"/>
        <v>Unique</v>
      </c>
      <c r="K31" s="14" t="str">
        <f t="shared" si="2"/>
        <v>Complete</v>
      </c>
      <c r="L31" s="14" t="str">
        <f t="shared" si="3"/>
        <v>Valid</v>
      </c>
      <c r="M31" s="8" t="s">
        <v>83</v>
      </c>
      <c r="N31" s="14">
        <f t="shared" si="4"/>
        <v>3600</v>
      </c>
    </row>
    <row r="32">
      <c r="A32" s="8" t="s">
        <v>99</v>
      </c>
      <c r="B32" s="10">
        <v>46265.0</v>
      </c>
      <c r="C32" s="8" t="s">
        <v>10</v>
      </c>
      <c r="D32" s="8" t="s">
        <v>27</v>
      </c>
      <c r="E32" s="8" t="s">
        <v>12</v>
      </c>
      <c r="F32" s="8">
        <v>1.0</v>
      </c>
      <c r="G32" s="8">
        <v>32000.0</v>
      </c>
      <c r="H32" s="12">
        <v>0.15</v>
      </c>
      <c r="I32" s="8" t="s">
        <v>36</v>
      </c>
      <c r="J32" s="14" t="str">
        <f t="shared" si="1"/>
        <v>Unique</v>
      </c>
      <c r="K32" s="14" t="str">
        <f t="shared" si="2"/>
        <v>Complete</v>
      </c>
      <c r="L32" s="14" t="str">
        <f t="shared" si="3"/>
        <v>Valid</v>
      </c>
      <c r="M32" s="8" t="s">
        <v>92</v>
      </c>
      <c r="N32" s="14">
        <f t="shared" si="4"/>
        <v>27200</v>
      </c>
    </row>
    <row r="33">
      <c r="A33" s="8" t="s">
        <v>100</v>
      </c>
      <c r="B33" s="10">
        <v>46266.0</v>
      </c>
      <c r="C33" s="8" t="s">
        <v>16</v>
      </c>
      <c r="D33" s="8" t="s">
        <v>18</v>
      </c>
      <c r="E33" s="8" t="s">
        <v>19</v>
      </c>
      <c r="F33" s="8">
        <v>2.0</v>
      </c>
      <c r="G33" s="8">
        <v>2600.0</v>
      </c>
      <c r="H33" s="12">
        <v>0.08</v>
      </c>
      <c r="I33" s="8" t="s">
        <v>43</v>
      </c>
      <c r="J33" s="14" t="str">
        <f t="shared" si="1"/>
        <v>Unique</v>
      </c>
      <c r="K33" s="14" t="str">
        <f t="shared" si="2"/>
        <v>Complete</v>
      </c>
      <c r="L33" s="14" t="str">
        <f t="shared" si="3"/>
        <v>Valid</v>
      </c>
      <c r="M33" s="8" t="s">
        <v>101</v>
      </c>
      <c r="N33" s="14">
        <f t="shared" si="4"/>
        <v>4784</v>
      </c>
    </row>
    <row r="34">
      <c r="A34" s="8" t="s">
        <v>102</v>
      </c>
      <c r="B34" s="10">
        <v>46267.0</v>
      </c>
      <c r="C34" s="8" t="s">
        <v>26</v>
      </c>
      <c r="D34" s="8" t="s">
        <v>11</v>
      </c>
      <c r="E34" s="8" t="s">
        <v>12</v>
      </c>
      <c r="F34" s="8">
        <v>1.0</v>
      </c>
      <c r="G34" s="8">
        <v>48000.0</v>
      </c>
      <c r="H34" s="12">
        <v>0.1</v>
      </c>
      <c r="I34" s="8" t="s">
        <v>36</v>
      </c>
      <c r="J34" s="14" t="str">
        <f t="shared" si="1"/>
        <v>Unique</v>
      </c>
      <c r="K34" s="14" t="str">
        <f t="shared" si="2"/>
        <v>Complete</v>
      </c>
      <c r="L34" s="14" t="str">
        <f t="shared" si="3"/>
        <v>Valid</v>
      </c>
      <c r="M34" s="8" t="s">
        <v>73</v>
      </c>
      <c r="N34" s="14">
        <f t="shared" si="4"/>
        <v>43200</v>
      </c>
    </row>
    <row r="35">
      <c r="A35" s="8" t="s">
        <v>103</v>
      </c>
      <c r="B35" s="10">
        <v>46268.0</v>
      </c>
      <c r="C35" s="8" t="s">
        <v>29</v>
      </c>
      <c r="D35" s="8" t="s">
        <v>30</v>
      </c>
      <c r="E35" s="8" t="s">
        <v>19</v>
      </c>
      <c r="F35" s="8">
        <v>5.0</v>
      </c>
      <c r="G35" s="8">
        <v>900.0</v>
      </c>
      <c r="H35" s="12">
        <v>0.05</v>
      </c>
      <c r="I35" s="8" t="s">
        <v>31</v>
      </c>
      <c r="J35" s="14" t="str">
        <f t="shared" si="1"/>
        <v>Unique</v>
      </c>
      <c r="K35" s="14" t="str">
        <f t="shared" si="2"/>
        <v>Complete</v>
      </c>
      <c r="L35" s="14" t="str">
        <f t="shared" si="3"/>
        <v>Valid</v>
      </c>
      <c r="M35" s="8" t="s">
        <v>83</v>
      </c>
      <c r="N35" s="14">
        <f t="shared" si="4"/>
        <v>4275</v>
      </c>
    </row>
    <row r="36">
      <c r="A36" s="8" t="s">
        <v>104</v>
      </c>
      <c r="B36" s="10">
        <v>46269.0</v>
      </c>
      <c r="C36" s="8" t="s">
        <v>34</v>
      </c>
      <c r="D36" s="8" t="s">
        <v>69</v>
      </c>
      <c r="E36" s="8" t="s">
        <v>12</v>
      </c>
      <c r="F36" s="8">
        <v>3.0</v>
      </c>
      <c r="G36" s="8">
        <v>1300.0</v>
      </c>
      <c r="H36" s="12">
        <v>0.08</v>
      </c>
      <c r="I36" s="8" t="s">
        <v>23</v>
      </c>
      <c r="J36" s="14" t="str">
        <f t="shared" si="1"/>
        <v>Unique</v>
      </c>
      <c r="K36" s="14" t="str">
        <f t="shared" si="2"/>
        <v>Complete</v>
      </c>
      <c r="L36" s="14" t="str">
        <f t="shared" si="3"/>
        <v>Valid</v>
      </c>
      <c r="M36" s="8" t="s">
        <v>92</v>
      </c>
      <c r="N36" s="14">
        <f t="shared" si="4"/>
        <v>3588</v>
      </c>
    </row>
    <row r="37">
      <c r="A37" s="8" t="s">
        <v>105</v>
      </c>
      <c r="B37" s="10">
        <v>46270.0</v>
      </c>
      <c r="C37" s="8" t="s">
        <v>39</v>
      </c>
      <c r="D37" s="8" t="s">
        <v>55</v>
      </c>
      <c r="E37" s="8" t="s">
        <v>42</v>
      </c>
      <c r="F37" s="8">
        <v>1.0</v>
      </c>
      <c r="G37" s="8">
        <v>5000.0</v>
      </c>
      <c r="H37" s="12">
        <v>0.12</v>
      </c>
      <c r="I37" s="8" t="s">
        <v>13</v>
      </c>
      <c r="J37" s="14" t="str">
        <f t="shared" si="1"/>
        <v>Unique</v>
      </c>
      <c r="K37" s="14" t="str">
        <f t="shared" si="2"/>
        <v>Complete</v>
      </c>
      <c r="L37" s="14" t="str">
        <f t="shared" si="3"/>
        <v>Valid</v>
      </c>
      <c r="M37" s="8" t="s">
        <v>101</v>
      </c>
      <c r="N37" s="14">
        <f t="shared" si="4"/>
        <v>4400</v>
      </c>
    </row>
    <row r="38">
      <c r="A38" s="8" t="s">
        <v>106</v>
      </c>
      <c r="B38" s="10">
        <v>46271.0</v>
      </c>
      <c r="C38" s="8" t="s">
        <v>45</v>
      </c>
      <c r="D38" s="8" t="s">
        <v>46</v>
      </c>
      <c r="E38" s="8" t="s">
        <v>12</v>
      </c>
      <c r="F38" s="8">
        <v>2.0</v>
      </c>
      <c r="G38" s="8">
        <v>21000.0</v>
      </c>
      <c r="H38" s="12">
        <v>0.15</v>
      </c>
      <c r="I38" s="8" t="s">
        <v>43</v>
      </c>
      <c r="J38" s="14" t="str">
        <f t="shared" si="1"/>
        <v>Unique</v>
      </c>
      <c r="K38" s="14" t="str">
        <f t="shared" si="2"/>
        <v>Complete</v>
      </c>
      <c r="L38" s="14" t="str">
        <f t="shared" si="3"/>
        <v>Valid</v>
      </c>
      <c r="M38" s="8" t="s">
        <v>73</v>
      </c>
      <c r="N38" s="14">
        <f t="shared" si="4"/>
        <v>35700</v>
      </c>
    </row>
    <row r="39">
      <c r="A39" s="8" t="s">
        <v>107</v>
      </c>
      <c r="B39" s="10">
        <v>46272.0</v>
      </c>
      <c r="C39" s="8" t="s">
        <v>48</v>
      </c>
      <c r="D39" s="8" t="s">
        <v>49</v>
      </c>
      <c r="E39" s="8" t="s">
        <v>19</v>
      </c>
      <c r="F39" s="8">
        <v>2.0</v>
      </c>
      <c r="G39" s="8">
        <v>2100.0</v>
      </c>
      <c r="H39" s="12">
        <v>0.1</v>
      </c>
      <c r="I39" s="8" t="s">
        <v>36</v>
      </c>
      <c r="J39" s="14" t="str">
        <f t="shared" si="1"/>
        <v>Unique</v>
      </c>
      <c r="K39" s="14" t="str">
        <f t="shared" si="2"/>
        <v>Complete</v>
      </c>
      <c r="L39" s="14" t="str">
        <f t="shared" si="3"/>
        <v>Valid</v>
      </c>
      <c r="M39" s="8" t="s">
        <v>83</v>
      </c>
      <c r="N39" s="14">
        <f t="shared" si="4"/>
        <v>3780</v>
      </c>
    </row>
    <row r="40">
      <c r="A40" s="8" t="s">
        <v>108</v>
      </c>
      <c r="B40" s="10">
        <v>46273.0</v>
      </c>
      <c r="C40" s="8" t="s">
        <v>51</v>
      </c>
      <c r="D40" s="8" t="s">
        <v>35</v>
      </c>
      <c r="E40" s="8" t="s">
        <v>12</v>
      </c>
      <c r="F40" s="8">
        <v>4.0</v>
      </c>
      <c r="G40" s="8">
        <v>2300.0</v>
      </c>
      <c r="H40" s="12">
        <v>0.05</v>
      </c>
      <c r="I40" s="8" t="s">
        <v>31</v>
      </c>
      <c r="J40" s="14" t="str">
        <f t="shared" si="1"/>
        <v>Unique</v>
      </c>
      <c r="K40" s="14" t="str">
        <f t="shared" si="2"/>
        <v>Complete</v>
      </c>
      <c r="L40" s="14" t="str">
        <f t="shared" si="3"/>
        <v>Valid</v>
      </c>
      <c r="M40" s="8" t="s">
        <v>92</v>
      </c>
      <c r="N40" s="14">
        <f t="shared" si="4"/>
        <v>8740</v>
      </c>
    </row>
    <row r="41">
      <c r="A41" s="8" t="s">
        <v>109</v>
      </c>
      <c r="B41" s="10">
        <v>46274.0</v>
      </c>
      <c r="C41" s="8" t="s">
        <v>54</v>
      </c>
      <c r="D41" s="8" t="s">
        <v>110</v>
      </c>
      <c r="E41" s="8" t="s">
        <v>19</v>
      </c>
      <c r="F41" s="8">
        <v>2.0</v>
      </c>
      <c r="G41" s="8">
        <v>4200.0</v>
      </c>
      <c r="H41" s="12">
        <v>0.12</v>
      </c>
      <c r="I41" s="8" t="s">
        <v>36</v>
      </c>
      <c r="J41" s="14" t="str">
        <f t="shared" si="1"/>
        <v>Unique</v>
      </c>
      <c r="K41" s="14" t="str">
        <f t="shared" si="2"/>
        <v>Complete</v>
      </c>
      <c r="L41" s="14" t="str">
        <f t="shared" si="3"/>
        <v>Valid</v>
      </c>
      <c r="M41" s="8" t="s">
        <v>101</v>
      </c>
      <c r="N41" s="14">
        <f t="shared" si="4"/>
        <v>7392</v>
      </c>
    </row>
    <row r="42">
      <c r="A42" s="8" t="s">
        <v>111</v>
      </c>
      <c r="B42" s="10">
        <v>46275.0</v>
      </c>
      <c r="C42" s="8" t="s">
        <v>10</v>
      </c>
      <c r="D42" s="8" t="s">
        <v>59</v>
      </c>
      <c r="E42" s="8" t="s">
        <v>12</v>
      </c>
      <c r="F42" s="8">
        <v>2.0</v>
      </c>
      <c r="G42" s="8">
        <v>12500.0</v>
      </c>
      <c r="H42" s="12">
        <v>0.1</v>
      </c>
      <c r="I42" s="8" t="s">
        <v>43</v>
      </c>
      <c r="J42" s="14" t="str">
        <f t="shared" si="1"/>
        <v>Unique</v>
      </c>
      <c r="K42" s="14" t="str">
        <f t="shared" si="2"/>
        <v>Complete</v>
      </c>
      <c r="L42" s="14" t="str">
        <f t="shared" si="3"/>
        <v>Valid</v>
      </c>
      <c r="M42" s="8" t="s">
        <v>73</v>
      </c>
      <c r="N42" s="14">
        <f t="shared" si="4"/>
        <v>22500</v>
      </c>
    </row>
    <row r="43">
      <c r="A43" s="8" t="s">
        <v>112</v>
      </c>
      <c r="B43" s="10">
        <v>46276.0</v>
      </c>
      <c r="C43" s="8" t="s">
        <v>16</v>
      </c>
      <c r="D43" s="8" t="s">
        <v>113</v>
      </c>
      <c r="E43" s="8" t="s">
        <v>19</v>
      </c>
      <c r="F43" s="8">
        <v>3.0</v>
      </c>
      <c r="G43" s="8">
        <v>3000.0</v>
      </c>
      <c r="H43" s="12">
        <v>0.08</v>
      </c>
      <c r="I43" s="8" t="s">
        <v>36</v>
      </c>
      <c r="J43" s="14" t="str">
        <f t="shared" si="1"/>
        <v>Unique</v>
      </c>
      <c r="K43" s="14" t="str">
        <f t="shared" si="2"/>
        <v>Complete</v>
      </c>
      <c r="L43" s="14" t="str">
        <f t="shared" si="3"/>
        <v>Valid</v>
      </c>
      <c r="M43" s="8" t="s">
        <v>83</v>
      </c>
      <c r="N43" s="14">
        <f t="shared" si="4"/>
        <v>8280</v>
      </c>
    </row>
    <row r="44">
      <c r="A44" s="8" t="s">
        <v>114</v>
      </c>
      <c r="B44" s="10">
        <v>46277.0</v>
      </c>
      <c r="C44" s="8" t="s">
        <v>26</v>
      </c>
      <c r="D44" s="8" t="s">
        <v>52</v>
      </c>
      <c r="E44" s="8" t="s">
        <v>12</v>
      </c>
      <c r="F44" s="8">
        <v>4.0</v>
      </c>
      <c r="G44" s="8">
        <v>1600.0</v>
      </c>
      <c r="H44" s="12">
        <v>0.05</v>
      </c>
      <c r="I44" s="8" t="s">
        <v>23</v>
      </c>
      <c r="J44" s="14" t="str">
        <f t="shared" si="1"/>
        <v>Unique</v>
      </c>
      <c r="K44" s="14" t="str">
        <f t="shared" si="2"/>
        <v>Complete</v>
      </c>
      <c r="L44" s="14" t="str">
        <f t="shared" si="3"/>
        <v>Valid</v>
      </c>
      <c r="M44" s="8" t="s">
        <v>92</v>
      </c>
      <c r="N44" s="14">
        <f t="shared" si="4"/>
        <v>6080</v>
      </c>
    </row>
    <row r="45">
      <c r="A45" s="8" t="s">
        <v>115</v>
      </c>
      <c r="B45" s="10">
        <v>46278.0</v>
      </c>
      <c r="C45" s="8" t="s">
        <v>29</v>
      </c>
      <c r="D45" s="8" t="s">
        <v>18</v>
      </c>
      <c r="E45" s="8" t="s">
        <v>19</v>
      </c>
      <c r="F45" s="8">
        <v>1.0</v>
      </c>
      <c r="G45" s="8">
        <v>3200.0</v>
      </c>
      <c r="H45" s="12">
        <v>0.1</v>
      </c>
      <c r="I45" s="8" t="s">
        <v>36</v>
      </c>
      <c r="J45" s="14" t="str">
        <f t="shared" si="1"/>
        <v>Unique</v>
      </c>
      <c r="K45" s="14" t="str">
        <f t="shared" si="2"/>
        <v>Complete</v>
      </c>
      <c r="L45" s="14" t="str">
        <f t="shared" si="3"/>
        <v>Valid</v>
      </c>
      <c r="M45" s="8" t="s">
        <v>101</v>
      </c>
      <c r="N45" s="14">
        <f t="shared" si="4"/>
        <v>2880</v>
      </c>
    </row>
    <row r="46">
      <c r="A46" s="8" t="s">
        <v>117</v>
      </c>
      <c r="B46" s="10">
        <v>46279.0</v>
      </c>
      <c r="C46" s="8" t="s">
        <v>34</v>
      </c>
      <c r="D46" s="8" t="s">
        <v>27</v>
      </c>
      <c r="E46" s="8" t="s">
        <v>12</v>
      </c>
      <c r="F46" s="8">
        <v>1.0</v>
      </c>
      <c r="G46" s="8">
        <v>29000.0</v>
      </c>
      <c r="H46" s="12">
        <v>0.15</v>
      </c>
      <c r="I46" s="8" t="s">
        <v>31</v>
      </c>
      <c r="J46" s="14" t="str">
        <f t="shared" si="1"/>
        <v>Unique</v>
      </c>
      <c r="K46" s="14" t="str">
        <f t="shared" si="2"/>
        <v>Complete</v>
      </c>
      <c r="L46" s="14" t="str">
        <f t="shared" si="3"/>
        <v>Valid</v>
      </c>
      <c r="M46" s="8" t="s">
        <v>73</v>
      </c>
      <c r="N46" s="14">
        <f t="shared" si="4"/>
        <v>24650</v>
      </c>
    </row>
    <row r="47">
      <c r="A47" s="8" t="s">
        <v>119</v>
      </c>
      <c r="B47" s="10">
        <v>46280.0</v>
      </c>
      <c r="C47" s="8" t="s">
        <v>39</v>
      </c>
      <c r="D47" s="8" t="s">
        <v>77</v>
      </c>
      <c r="E47" s="8" t="s">
        <v>42</v>
      </c>
      <c r="F47" s="8">
        <v>2.0</v>
      </c>
      <c r="G47" s="8">
        <v>1900.0</v>
      </c>
      <c r="H47" s="12">
        <v>0.05</v>
      </c>
      <c r="I47" s="8" t="s">
        <v>23</v>
      </c>
      <c r="J47" s="14" t="str">
        <f t="shared" si="1"/>
        <v>Unique</v>
      </c>
      <c r="K47" s="14" t="str">
        <f t="shared" si="2"/>
        <v>Complete</v>
      </c>
      <c r="L47" s="14" t="str">
        <f t="shared" si="3"/>
        <v>Valid</v>
      </c>
      <c r="M47" s="8" t="s">
        <v>83</v>
      </c>
      <c r="N47" s="14">
        <f t="shared" si="4"/>
        <v>3610</v>
      </c>
    </row>
    <row r="48">
      <c r="A48" s="8" t="s">
        <v>120</v>
      </c>
      <c r="B48" s="10">
        <v>46281.0</v>
      </c>
      <c r="C48" s="8" t="s">
        <v>45</v>
      </c>
      <c r="D48" s="8" t="s">
        <v>11</v>
      </c>
      <c r="E48" s="8" t="s">
        <v>12</v>
      </c>
      <c r="F48" s="8">
        <v>1.0</v>
      </c>
      <c r="G48" s="8">
        <v>55000.0</v>
      </c>
      <c r="H48" s="12">
        <v>0.12</v>
      </c>
      <c r="I48" s="8" t="s">
        <v>36</v>
      </c>
      <c r="J48" s="14" t="str">
        <f t="shared" si="1"/>
        <v>Unique</v>
      </c>
      <c r="K48" s="14" t="str">
        <f t="shared" si="2"/>
        <v>Complete</v>
      </c>
      <c r="L48" s="14" t="str">
        <f t="shared" si="3"/>
        <v>Valid</v>
      </c>
      <c r="M48" s="8" t="s">
        <v>92</v>
      </c>
      <c r="N48" s="14">
        <f t="shared" si="4"/>
        <v>48400</v>
      </c>
    </row>
    <row r="49">
      <c r="A49" s="8" t="s">
        <v>121</v>
      </c>
      <c r="B49" s="10">
        <v>46282.0</v>
      </c>
      <c r="C49" s="8" t="s">
        <v>48</v>
      </c>
      <c r="D49" s="8" t="s">
        <v>30</v>
      </c>
      <c r="E49" s="8" t="s">
        <v>122</v>
      </c>
      <c r="F49" s="8">
        <v>3.0</v>
      </c>
      <c r="G49" s="8">
        <v>850.0</v>
      </c>
      <c r="H49" s="12">
        <v>0.05</v>
      </c>
      <c r="I49" s="8" t="s">
        <v>36</v>
      </c>
      <c r="J49" s="14" t="str">
        <f t="shared" si="1"/>
        <v>Unique</v>
      </c>
      <c r="K49" s="14" t="str">
        <f t="shared" si="2"/>
        <v>Complete</v>
      </c>
      <c r="L49" s="14" t="str">
        <f t="shared" si="3"/>
        <v>Valid</v>
      </c>
      <c r="M49" s="8" t="s">
        <v>101</v>
      </c>
      <c r="N49" s="14">
        <f t="shared" si="4"/>
        <v>2422.5</v>
      </c>
    </row>
    <row r="50">
      <c r="A50" s="8" t="s">
        <v>123</v>
      </c>
      <c r="B50" s="10">
        <v>46283.0</v>
      </c>
      <c r="C50" s="8" t="s">
        <v>51</v>
      </c>
      <c r="D50" s="8" t="s">
        <v>46</v>
      </c>
      <c r="E50" s="8" t="s">
        <v>12</v>
      </c>
      <c r="F50" s="8">
        <v>1.0</v>
      </c>
      <c r="G50" s="8">
        <v>23000.0</v>
      </c>
      <c r="H50" s="12">
        <v>0.1</v>
      </c>
      <c r="I50" s="8" t="s">
        <v>78</v>
      </c>
      <c r="J50" s="14" t="str">
        <f t="shared" si="1"/>
        <v>Unique</v>
      </c>
      <c r="K50" s="14" t="str">
        <f t="shared" si="2"/>
        <v>Complete</v>
      </c>
      <c r="L50" s="14" t="str">
        <f t="shared" si="3"/>
        <v>Valid</v>
      </c>
      <c r="M50" s="8" t="s">
        <v>73</v>
      </c>
      <c r="N50" s="14">
        <f t="shared" si="4"/>
        <v>20700</v>
      </c>
    </row>
    <row r="51">
      <c r="A51" s="8" t="s">
        <v>124</v>
      </c>
      <c r="B51" s="10">
        <v>46284.0</v>
      </c>
      <c r="C51" s="8" t="s">
        <v>54</v>
      </c>
      <c r="D51" s="8" t="s">
        <v>55</v>
      </c>
      <c r="E51" s="8" t="s">
        <v>42</v>
      </c>
      <c r="F51" s="8">
        <v>2.0</v>
      </c>
      <c r="G51" s="8">
        <v>3800.0</v>
      </c>
      <c r="H51" s="12">
        <v>0.08</v>
      </c>
      <c r="I51" s="8" t="s">
        <v>43</v>
      </c>
      <c r="J51" s="14" t="str">
        <f t="shared" si="1"/>
        <v>Unique</v>
      </c>
      <c r="K51" s="14" t="str">
        <f t="shared" si="2"/>
        <v>Complete</v>
      </c>
      <c r="L51" s="14" t="str">
        <f t="shared" si="3"/>
        <v>Valid</v>
      </c>
      <c r="M51" s="8" t="s">
        <v>83</v>
      </c>
      <c r="N51" s="14">
        <f t="shared" si="4"/>
        <v>6992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3" ht="47.25" customHeight="1">
      <c r="A3" s="5"/>
      <c r="B3" s="6" t="s">
        <v>21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6">
      <c r="A6" s="9" t="s">
        <v>33</v>
      </c>
      <c r="B6" s="9" t="s">
        <v>38</v>
      </c>
    </row>
    <row r="7">
      <c r="A7" s="11" t="s">
        <v>41</v>
      </c>
      <c r="B7" s="13">
        <f>COUNTA('Clean Data'!A2:A51)</f>
        <v>50</v>
      </c>
    </row>
    <row r="8">
      <c r="A8" s="11" t="s">
        <v>56</v>
      </c>
      <c r="B8" s="13">
        <f>SUM('Clean Data'!F2:F51)</f>
        <v>106</v>
      </c>
    </row>
    <row r="9">
      <c r="A9" s="11" t="s">
        <v>61</v>
      </c>
      <c r="B9" s="13">
        <f>SUMPRODUCT('Clean Data'!F2:F51,'Clean Data'!G2:G51)</f>
        <v>760150</v>
      </c>
    </row>
    <row r="10">
      <c r="A10" s="11" t="s">
        <v>65</v>
      </c>
      <c r="B10" s="13">
        <f>SUMPRODUCT('Clean Data'!F2:F51,'Clean Data'!G2:G51,'Clean Data'!H2:H51)</f>
        <v>83886.5</v>
      </c>
    </row>
    <row r="11">
      <c r="A11" s="11" t="s">
        <v>25</v>
      </c>
      <c r="B11" s="13">
        <f>B9-B10</f>
        <v>676263.5</v>
      </c>
    </row>
    <row r="12">
      <c r="A12" s="11" t="s">
        <v>74</v>
      </c>
      <c r="B12" s="13">
        <f>B11/B7</f>
        <v>13525.27</v>
      </c>
    </row>
    <row r="13">
      <c r="A13" s="11" t="s">
        <v>76</v>
      </c>
      <c r="B13" s="13">
        <f t="array" ref="B13">MAX('Clean Data'!F2:F51*'Clean Data'!G2:G51*(1-'Clean Data'!H2:H51))</f>
        <v>81000</v>
      </c>
    </row>
    <row r="14">
      <c r="A14" s="11" t="s">
        <v>86</v>
      </c>
      <c r="B14" s="13">
        <f t="array" ref="B14">MIN('Clean Data'!F2:F51*'Clean Data'!G2:G51*(1-'Clean Data'!H2:H51))</f>
        <v>2160</v>
      </c>
    </row>
    <row r="18" ht="27.75" customHeight="1">
      <c r="A18" s="15" t="s">
        <v>90</v>
      </c>
      <c r="B18" s="16"/>
    </row>
    <row r="20">
      <c r="A20" s="17" t="s">
        <v>22</v>
      </c>
      <c r="B20" s="17" t="s">
        <v>94</v>
      </c>
      <c r="C20" s="17" t="s">
        <v>96</v>
      </c>
      <c r="D20" s="17" t="s">
        <v>98</v>
      </c>
    </row>
    <row r="21">
      <c r="A21" s="11" t="s">
        <v>73</v>
      </c>
      <c r="B21" s="13">
        <f>SUMIF('Clean Data'!M2:M51,A21,'Clean Data'!N2:N51)</f>
        <v>331915</v>
      </c>
      <c r="C21" s="13">
        <f>COUNTIF('Clean Data'!M2:M51,A21)</f>
        <v>13</v>
      </c>
      <c r="D21" s="13">
        <f>SUMIF('Clean Data'!M2:M51,A21,'Clean Data'!F2:F51)</f>
        <v>28</v>
      </c>
    </row>
    <row r="22">
      <c r="A22" s="11" t="s">
        <v>83</v>
      </c>
      <c r="B22" s="13">
        <f>SUMIF('Clean Data'!M3:M52,A22,'Clean Data'!N3:N52)</f>
        <v>57386</v>
      </c>
      <c r="C22" s="13">
        <f>COUNTIF('Clean Data'!M3:M52,A22)</f>
        <v>13</v>
      </c>
      <c r="D22" s="13">
        <f>SUMIF('Clean Data'!M3:M52,A22,'Clean Data'!F3:F52)</f>
        <v>28</v>
      </c>
    </row>
    <row r="23">
      <c r="A23" s="11" t="s">
        <v>92</v>
      </c>
      <c r="B23" s="13">
        <f>SUMIF('Clean Data'!M4:M53,A23,'Clean Data'!N4:N53)</f>
        <v>235274</v>
      </c>
      <c r="C23" s="13">
        <f>COUNTIF('Clean Data'!M4:M53,A23)</f>
        <v>12</v>
      </c>
      <c r="D23" s="13">
        <f>SUMIF('Clean Data'!M4:M53,A23,'Clean Data'!F4:F53)</f>
        <v>25</v>
      </c>
    </row>
    <row r="24">
      <c r="A24" s="11" t="s">
        <v>101</v>
      </c>
      <c r="B24" s="13">
        <f>SUMIF('Clean Data'!M5:M54,A24,'Clean Data'!N5:N54)</f>
        <v>51688.5</v>
      </c>
      <c r="C24" s="13">
        <f>COUNTIF('Clean Data'!M5:M54,A24)</f>
        <v>12</v>
      </c>
      <c r="D24" s="13">
        <f>SUMIF('Clean Data'!M5:M54,A24,'Clean Data'!F5:F54)</f>
        <v>25</v>
      </c>
    </row>
    <row r="28" ht="30.75" customHeight="1">
      <c r="A28" s="18" t="s">
        <v>116</v>
      </c>
    </row>
    <row r="30">
      <c r="A30" s="17" t="s">
        <v>4</v>
      </c>
      <c r="B30" s="17" t="s">
        <v>94</v>
      </c>
      <c r="C30" s="17" t="s">
        <v>118</v>
      </c>
      <c r="D30" s="17" t="s">
        <v>98</v>
      </c>
    </row>
    <row r="31">
      <c r="A31" s="11" t="s">
        <v>12</v>
      </c>
      <c r="B31" s="13">
        <f>SUMIF('Clean Data'!E2:E51,A31,'Clean Data'!N2:N51)</f>
        <v>567189</v>
      </c>
      <c r="C31" s="13">
        <f>COUNTIF('Clean Data'!E2:E51,A31)</f>
        <v>25</v>
      </c>
      <c r="D31" s="13">
        <f>SUMIF('Clean Data'!E2:E51,A31,'Clean Data'!F2:F51)</f>
        <v>53</v>
      </c>
    </row>
    <row r="32">
      <c r="A32" s="11" t="s">
        <v>19</v>
      </c>
      <c r="B32" s="13">
        <f>SUMIF('Clean Data'!E3:E52,A32,'Clean Data'!N3:N52)</f>
        <v>69960</v>
      </c>
      <c r="C32" s="13">
        <f>COUNTIF('Clean Data'!E3:E52,A32)</f>
        <v>16</v>
      </c>
      <c r="D32" s="13">
        <f>SUMIF('Clean Data'!E3:E52,A32,'Clean Data'!F3:F52)</f>
        <v>35</v>
      </c>
    </row>
    <row r="33">
      <c r="A33" s="11" t="s">
        <v>42</v>
      </c>
      <c r="B33" s="13">
        <f>SUMIF('Clean Data'!E4:E53,A33,'Clean Data'!N4:N53)</f>
        <v>36692</v>
      </c>
      <c r="C33" s="13">
        <f>COUNTIF('Clean Data'!E4:E53,A33)</f>
        <v>8</v>
      </c>
      <c r="D33" s="13">
        <f>SUMIF('Clean Data'!E4:E53,A33,'Clean Data'!F4:F53)</f>
        <v>15</v>
      </c>
    </row>
    <row r="36" ht="27.75" customHeight="1">
      <c r="A36" s="18" t="s">
        <v>125</v>
      </c>
    </row>
    <row r="38">
      <c r="A38" s="17" t="s">
        <v>126</v>
      </c>
      <c r="B38" s="17" t="s">
        <v>127</v>
      </c>
      <c r="C38" s="17" t="s">
        <v>96</v>
      </c>
      <c r="D38" s="17" t="s">
        <v>98</v>
      </c>
    </row>
    <row r="39">
      <c r="A39" s="11" t="s">
        <v>11</v>
      </c>
      <c r="B39" s="13">
        <f>SUMIF('Clean Data'!D2:D51,A39,'Clean Data'!N2:N51)</f>
        <v>216800</v>
      </c>
      <c r="C39" s="13">
        <f>COUNTIF('Clean Data'!D2:D51,A39)</f>
        <v>4</v>
      </c>
      <c r="D39" s="13">
        <f>SUMIF('Clean Data'!D2:D51,A39,'Clean Data'!F2:F51)</f>
        <v>5</v>
      </c>
    </row>
    <row r="40">
      <c r="A40" s="11" t="s">
        <v>27</v>
      </c>
      <c r="B40" s="13">
        <f>SUMIF('Clean Data'!D3:D52,A40,'Clean Data'!N3:N52)</f>
        <v>131610</v>
      </c>
      <c r="C40" s="13">
        <f>COUNTIF('Clean Data'!D3:D52,A40)</f>
        <v>4</v>
      </c>
      <c r="D40" s="13">
        <f>SUMIF('Clean Data'!D3:D52,A40,'Clean Data'!F3:F52)</f>
        <v>5</v>
      </c>
    </row>
    <row r="41">
      <c r="A41" s="11" t="s">
        <v>46</v>
      </c>
      <c r="B41" s="13">
        <f>SUMIF('Clean Data'!D4:D53,A41,'Clean Data'!N4:N53)</f>
        <v>118000</v>
      </c>
      <c r="C41" s="13">
        <f>COUNTIF('Clean Data'!D4:D53,A41)</f>
        <v>4</v>
      </c>
      <c r="D41" s="13">
        <f>SUMIF('Clean Data'!D4:D53,A41,'Clean Data'!F4:F53)</f>
        <v>6</v>
      </c>
    </row>
    <row r="42">
      <c r="A42" s="11" t="s">
        <v>35</v>
      </c>
      <c r="B42" s="13">
        <f>SUMIF('Clean Data'!D5:D54,A42,'Clean Data'!N5:N54)</f>
        <v>19670</v>
      </c>
      <c r="C42" s="13">
        <f>COUNTIF('Clean Data'!D5:D54,A42)</f>
        <v>3</v>
      </c>
      <c r="D42" s="13">
        <f>SUMIF('Clean Data'!D5:D54,A42,'Clean Data'!F5:F54)</f>
        <v>9</v>
      </c>
    </row>
    <row r="43">
      <c r="A43" s="11" t="s">
        <v>52</v>
      </c>
      <c r="B43" s="13">
        <f>SUMIF('Clean Data'!D6:D55,A43,'Clean Data'!N6:N55)</f>
        <v>13450</v>
      </c>
      <c r="C43" s="13">
        <f>COUNTIF('Clean Data'!D6:D55,A43)</f>
        <v>3</v>
      </c>
      <c r="D43" s="13">
        <f>SUMIF('Clean Data'!D6:D55,A43,'Clean Data'!F6:F55)</f>
        <v>9</v>
      </c>
    </row>
    <row r="44">
      <c r="A44" s="11" t="s">
        <v>59</v>
      </c>
      <c r="B44" s="13">
        <f>SUMIF('Clean Data'!D7:D56,A44,'Clean Data'!N7:N56)</f>
        <v>55320</v>
      </c>
      <c r="C44" s="13">
        <f>COUNTIF('Clean Data'!D7:D56,A44)</f>
        <v>3</v>
      </c>
      <c r="D44" s="13">
        <f>SUMIF('Clean Data'!D7:D56,A44,'Clean Data'!F7:F56)</f>
        <v>5</v>
      </c>
    </row>
    <row r="45">
      <c r="A45" s="11" t="s">
        <v>67</v>
      </c>
      <c r="B45" s="13">
        <f>SUMIF('Clean Data'!D8:D57,A45,'Clean Data'!N8:N57)</f>
        <v>8280</v>
      </c>
      <c r="C45" s="13">
        <f>COUNTIF('Clean Data'!D8:D57,A45)</f>
        <v>2</v>
      </c>
      <c r="D45" s="13">
        <f>SUMIF('Clean Data'!D8:D57,A45,'Clean Data'!F8:F57)</f>
        <v>2</v>
      </c>
    </row>
    <row r="46">
      <c r="A46" s="11" t="s">
        <v>71</v>
      </c>
      <c r="B46" s="13">
        <f>SUMIF('Clean Data'!D9:D58,A46,'Clean Data'!N9:N58)</f>
        <v>5040</v>
      </c>
      <c r="C46" s="13">
        <f>COUNTIF('Clean Data'!D9:D58,A46)</f>
        <v>1</v>
      </c>
      <c r="D46" s="13">
        <f>SUMIF('Clean Data'!D9:D58,A46,'Clean Data'!F9:F58)</f>
        <v>2</v>
      </c>
    </row>
    <row r="47">
      <c r="A47" s="11" t="s">
        <v>30</v>
      </c>
      <c r="B47" s="13">
        <f>SUMIF('Clean Data'!D10:D59,A47,'Clean Data'!N10:N59)</f>
        <v>9547.5</v>
      </c>
      <c r="C47" s="13">
        <f>COUNTIF('Clean Data'!D10:D59,A47)</f>
        <v>3</v>
      </c>
      <c r="D47" s="13">
        <f>SUMIF('Clean Data'!D10:D59,A47,'Clean Data'!F10:F59)</f>
        <v>12</v>
      </c>
    </row>
    <row r="48">
      <c r="A48" s="11" t="s">
        <v>49</v>
      </c>
      <c r="B48" s="13">
        <f>SUMIF('Clean Data'!D11:D60,A48,'Clean Data'!N11:N60)</f>
        <v>9024</v>
      </c>
      <c r="C48" s="13">
        <f>COUNTIF('Clean Data'!D11:D60,A48)</f>
        <v>2</v>
      </c>
      <c r="D48" s="13">
        <f>SUMIF('Clean Data'!D11:D60,A48,'Clean Data'!F11:F60)</f>
        <v>5</v>
      </c>
    </row>
    <row r="49">
      <c r="A49" s="11" t="s">
        <v>55</v>
      </c>
      <c r="B49" s="13">
        <f>SUMIF('Clean Data'!D12:D61,A49,'Clean Data'!N12:N61)</f>
        <v>18532</v>
      </c>
      <c r="C49" s="13">
        <f>COUNTIF('Clean Data'!D12:D61,A49)</f>
        <v>3</v>
      </c>
      <c r="D49" s="13">
        <f>SUMIF('Clean Data'!D12:D61,A49,'Clean Data'!F12:F61)</f>
        <v>5</v>
      </c>
    </row>
    <row r="50">
      <c r="A50" s="11" t="s">
        <v>40</v>
      </c>
      <c r="B50" s="13">
        <f>SUMIF('Clean Data'!D2:D51,A50,'Clean Data'!N2:N51)</f>
        <v>3240</v>
      </c>
      <c r="C50" s="13">
        <f>COUNTIF('Clean Data'!D2:D51,A50)</f>
        <v>1</v>
      </c>
      <c r="D50" s="13">
        <f>SUMIF('Clean Data'!D2:D51,A50,'Clean Data'!F2:F51)</f>
        <v>2</v>
      </c>
    </row>
    <row r="51">
      <c r="A51" s="11" t="s">
        <v>69</v>
      </c>
      <c r="B51" s="13">
        <f>SUMIF('Clean Data'!D14:D63,A51,'Clean Data'!N14:N63)</f>
        <v>6164</v>
      </c>
      <c r="C51" s="13">
        <f>COUNTIF('Clean Data'!D14:D63,A51)</f>
        <v>2</v>
      </c>
      <c r="D51" s="13">
        <f>SUMIF('Clean Data'!D14:D63,A51,'Clean Data'!F14:F63)</f>
        <v>5</v>
      </c>
    </row>
    <row r="57">
      <c r="A57" s="17" t="s">
        <v>1</v>
      </c>
      <c r="B57" s="17" t="s">
        <v>25</v>
      </c>
    </row>
    <row r="58">
      <c r="A58" s="19">
        <v>46235.0</v>
      </c>
      <c r="B58" s="13">
        <f>SUMIF('Clean Data'!B$2:B$51,A58,'Clean Data'!N$2:N$51)</f>
        <v>81000</v>
      </c>
    </row>
    <row r="59">
      <c r="A59" s="19">
        <v>46236.0</v>
      </c>
      <c r="B59" s="13">
        <f>SUMIF('Clean Data'!B$2:B$51,A59,'Clean Data'!N$2:N$51)</f>
        <v>2375</v>
      </c>
    </row>
    <row r="60">
      <c r="A60" s="19">
        <v>46237.0</v>
      </c>
      <c r="B60" s="13">
        <f>SUMIF('Clean Data'!B$2:B$51,A60,'Clean Data'!N$2:N$51)</f>
        <v>25760</v>
      </c>
    </row>
    <row r="61">
      <c r="A61" s="19">
        <v>46238.0</v>
      </c>
      <c r="B61" s="13">
        <f>SUMIF('Clean Data'!B$2:B$51,A61,'Clean Data'!N$2:N$51)</f>
        <v>2160</v>
      </c>
    </row>
    <row r="62">
      <c r="A62" s="19">
        <v>46239.0</v>
      </c>
      <c r="B62" s="13">
        <f>SUMIF('Clean Data'!B$2:B$51,A62,'Clean Data'!N$2:N$51)</f>
        <v>4180</v>
      </c>
    </row>
    <row r="63">
      <c r="A63" s="19">
        <v>46240.0</v>
      </c>
      <c r="B63" s="13">
        <f>SUMIF('Clean Data'!B$2:B$51,A63,'Clean Data'!N$2:N$51)</f>
        <v>3240</v>
      </c>
    </row>
    <row r="64">
      <c r="A64" s="19">
        <v>46241.0</v>
      </c>
      <c r="B64" s="13">
        <f>SUMIF('Clean Data'!B$2:B$51,A64,'Clean Data'!N$2:N$51)</f>
        <v>19360</v>
      </c>
    </row>
    <row r="65">
      <c r="A65" s="19">
        <v>46242.0</v>
      </c>
      <c r="B65" s="13">
        <f>SUMIF('Clean Data'!B$2:B$51,A65,'Clean Data'!N$2:N$51)</f>
        <v>3420</v>
      </c>
    </row>
    <row r="66">
      <c r="A66" s="19">
        <v>46243.0</v>
      </c>
      <c r="B66" s="13">
        <f>SUMIF('Clean Data'!B$2:B$51,A66,'Clean Data'!N$2:N$51)</f>
        <v>4140</v>
      </c>
    </row>
    <row r="67">
      <c r="A67" s="19">
        <v>46244.0</v>
      </c>
      <c r="B67" s="13">
        <f>SUMIF('Clean Data'!B$2:B$51,A67,'Clean Data'!N$2:N$51)</f>
        <v>3150</v>
      </c>
    </row>
    <row r="68">
      <c r="A68" s="19">
        <v>46245.0</v>
      </c>
      <c r="B68" s="13">
        <f>SUMIF('Clean Data'!B$2:B$51,A68,'Clean Data'!N$2:N$51)</f>
        <v>20400</v>
      </c>
    </row>
    <row r="69">
      <c r="A69" s="19">
        <v>46246.0</v>
      </c>
      <c r="B69" s="13">
        <f>SUMIF('Clean Data'!B$2:B$51,A69,'Clean Data'!N$2:N$51)</f>
        <v>3040</v>
      </c>
    </row>
    <row r="70">
      <c r="A70" s="19">
        <v>46247.0</v>
      </c>
      <c r="B70" s="13">
        <f>SUMIF('Clean Data'!B$2:B$51,A70,'Clean Data'!N$2:N$51)</f>
        <v>2850</v>
      </c>
    </row>
    <row r="71">
      <c r="A71" s="19">
        <v>46248.0</v>
      </c>
      <c r="B71" s="13">
        <f>SUMIF('Clean Data'!B$2:B$51,A71,'Clean Data'!N$2:N$51)</f>
        <v>3960</v>
      </c>
    </row>
    <row r="72">
      <c r="A72" s="19">
        <v>46249.0</v>
      </c>
      <c r="B72" s="13">
        <f>SUMIF('Clean Data'!B$2:B$51,A72,'Clean Data'!N$2:N$51)</f>
        <v>2576</v>
      </c>
    </row>
    <row r="73">
      <c r="A73" s="19">
        <v>46250.0</v>
      </c>
      <c r="B73" s="13">
        <f>SUMIF('Clean Data'!B$2:B$51,A73,'Clean Data'!N$2:N$51)</f>
        <v>5040</v>
      </c>
    </row>
    <row r="74">
      <c r="A74" s="19">
        <v>46251.0</v>
      </c>
      <c r="B74" s="13">
        <f>SUMIF('Clean Data'!B$2:B$51,A74,'Clean Data'!N$2:N$51)</f>
        <v>44200</v>
      </c>
    </row>
    <row r="75">
      <c r="A75" s="19">
        <v>46252.0</v>
      </c>
      <c r="B75" s="13">
        <f>SUMIF('Clean Data'!B$2:B$51,A75,'Clean Data'!N$2:N$51)</f>
        <v>4560</v>
      </c>
    </row>
    <row r="76">
      <c r="A76" s="19">
        <v>46253.0</v>
      </c>
      <c r="B76" s="13">
        <f>SUMIF('Clean Data'!B$2:B$51,A76,'Clean Data'!N$2:N$51)</f>
        <v>54000</v>
      </c>
    </row>
    <row r="77">
      <c r="A77" s="19">
        <v>46254.0</v>
      </c>
      <c r="B77" s="13">
        <f>SUMIF('Clean Data'!B$2:B$51,A77,'Clean Data'!N$2:N$51)</f>
        <v>2850</v>
      </c>
    </row>
    <row r="78">
      <c r="A78" s="19">
        <v>46255.0</v>
      </c>
      <c r="B78" s="13">
        <f>SUMIF('Clean Data'!B$2:B$51,A78,'Clean Data'!N$2:N$51)</f>
        <v>42240</v>
      </c>
    </row>
    <row r="79">
      <c r="A79" s="19">
        <v>46256.0</v>
      </c>
      <c r="B79" s="13">
        <f>SUMIF('Clean Data'!B$2:B$51,A79,'Clean Data'!N$2:N$51)</f>
        <v>5244</v>
      </c>
    </row>
    <row r="80">
      <c r="A80" s="19">
        <v>46257.0</v>
      </c>
      <c r="B80" s="13">
        <f>SUMIF('Clean Data'!B$2:B$51,A80,'Clean Data'!N$2:N$51)</f>
        <v>6750</v>
      </c>
    </row>
    <row r="81">
      <c r="A81" s="19">
        <v>46258.0</v>
      </c>
      <c r="B81" s="13">
        <f>SUMIF('Clean Data'!B$2:B$51,A81,'Clean Data'!N$2:N$51)</f>
        <v>7140</v>
      </c>
    </row>
    <row r="82">
      <c r="A82" s="19">
        <v>46259.0</v>
      </c>
      <c r="B82" s="13">
        <f>SUMIF('Clean Data'!B$2:B$51,A82,'Clean Data'!N$2:N$51)</f>
        <v>3230</v>
      </c>
    </row>
    <row r="83">
      <c r="A83" s="19">
        <v>46260.0</v>
      </c>
      <c r="B83" s="13">
        <f>SUMIF('Clean Data'!B$2:B$51,A83,'Clean Data'!N$2:N$51)</f>
        <v>4320</v>
      </c>
    </row>
    <row r="84">
      <c r="A84" s="19">
        <v>46261.0</v>
      </c>
      <c r="B84" s="13">
        <f>SUMIF('Clean Data'!B$2:B$51,A84,'Clean Data'!N$2:N$51)</f>
        <v>12420</v>
      </c>
    </row>
    <row r="85">
      <c r="A85" s="19">
        <v>46262.0</v>
      </c>
      <c r="B85" s="13">
        <f>SUMIF('Clean Data'!B$2:B$51,A85,'Clean Data'!N$2:N$51)</f>
        <v>6160</v>
      </c>
    </row>
    <row r="86">
      <c r="A86" s="19">
        <v>46263.0</v>
      </c>
      <c r="B86" s="13">
        <f>SUMIF('Clean Data'!B$2:B$51,A86,'Clean Data'!N$2:N$51)</f>
        <v>3325</v>
      </c>
    </row>
    <row r="87">
      <c r="A87" s="19">
        <v>46264.0</v>
      </c>
      <c r="B87" s="13">
        <f>SUMIF('Clean Data'!B$2:B$51,A87,'Clean Data'!N$2:N$51)</f>
        <v>3600</v>
      </c>
    </row>
    <row r="88">
      <c r="A88" s="19">
        <v>46265.0</v>
      </c>
      <c r="B88" s="13">
        <f>SUMIF('Clean Data'!B$2:B$51,A88,'Clean Data'!N$2:N$51)</f>
        <v>27200</v>
      </c>
    </row>
    <row r="89">
      <c r="A89" s="19">
        <v>46266.0</v>
      </c>
      <c r="B89" s="13">
        <f>SUMIF('Clean Data'!B$2:B$51,A89,'Clean Data'!N$2:N$51)</f>
        <v>4784</v>
      </c>
    </row>
    <row r="90">
      <c r="A90" s="19">
        <v>46267.0</v>
      </c>
      <c r="B90" s="13">
        <f>SUMIF('Clean Data'!B$2:B$51,A90,'Clean Data'!N$2:N$51)</f>
        <v>43200</v>
      </c>
    </row>
    <row r="91">
      <c r="A91" s="19">
        <v>46268.0</v>
      </c>
      <c r="B91" s="13">
        <f>SUMIF('Clean Data'!B$2:B$51,A91,'Clean Data'!N$2:N$51)</f>
        <v>4275</v>
      </c>
    </row>
    <row r="92">
      <c r="A92" s="19">
        <v>46269.0</v>
      </c>
      <c r="B92" s="13">
        <f>SUMIF('Clean Data'!B$2:B$51,A92,'Clean Data'!N$2:N$51)</f>
        <v>3588</v>
      </c>
    </row>
    <row r="93">
      <c r="A93" s="19">
        <v>46270.0</v>
      </c>
      <c r="B93" s="13">
        <f>SUMIF('Clean Data'!B$2:B$51,A93,'Clean Data'!N$2:N$51)</f>
        <v>4400</v>
      </c>
    </row>
    <row r="94">
      <c r="A94" s="19">
        <v>46271.0</v>
      </c>
      <c r="B94" s="13">
        <f>SUMIF('Clean Data'!B$2:B$51,A94,'Clean Data'!N$2:N$51)</f>
        <v>35700</v>
      </c>
    </row>
    <row r="95">
      <c r="A95" s="19">
        <v>46272.0</v>
      </c>
      <c r="B95" s="13">
        <f>SUMIF('Clean Data'!B$2:B$51,A95,'Clean Data'!N$2:N$51)</f>
        <v>3780</v>
      </c>
    </row>
    <row r="96">
      <c r="A96" s="19">
        <v>46273.0</v>
      </c>
      <c r="B96" s="13">
        <f>SUMIF('Clean Data'!B$2:B$51,A96,'Clean Data'!N$2:N$51)</f>
        <v>8740</v>
      </c>
    </row>
    <row r="97">
      <c r="A97" s="19">
        <v>46274.0</v>
      </c>
      <c r="B97" s="13">
        <f>SUMIF('Clean Data'!B$2:B$51,A97,'Clean Data'!N$2:N$51)</f>
        <v>7392</v>
      </c>
    </row>
    <row r="98">
      <c r="A98" s="19">
        <v>46275.0</v>
      </c>
      <c r="B98" s="13">
        <f>SUMIF('Clean Data'!B$2:B$51,A98,'Clean Data'!N$2:N$51)</f>
        <v>22500</v>
      </c>
    </row>
    <row r="99">
      <c r="A99" s="19">
        <v>46276.0</v>
      </c>
      <c r="B99" s="13">
        <f>SUMIF('Clean Data'!B$2:B$51,A99,'Clean Data'!N$2:N$51)</f>
        <v>8280</v>
      </c>
    </row>
    <row r="100">
      <c r="A100" s="19">
        <v>46277.0</v>
      </c>
      <c r="B100" s="13">
        <f>SUMIF('Clean Data'!B$2:B$51,A100,'Clean Data'!N$2:N$51)</f>
        <v>6080</v>
      </c>
    </row>
    <row r="101">
      <c r="A101" s="19">
        <v>46278.0</v>
      </c>
      <c r="B101" s="13">
        <f>SUMIF('Clean Data'!B$2:B$51,A101,'Clean Data'!N$2:N$51)</f>
        <v>2880</v>
      </c>
    </row>
    <row r="102">
      <c r="A102" s="19">
        <v>46279.0</v>
      </c>
      <c r="B102" s="13">
        <f>SUMIF('Clean Data'!B$2:B$51,A102,'Clean Data'!N$2:N$51)</f>
        <v>24650</v>
      </c>
    </row>
    <row r="103">
      <c r="A103" s="19">
        <v>46280.0</v>
      </c>
      <c r="B103" s="13">
        <f>SUMIF('Clean Data'!B$2:B$51,A103,'Clean Data'!N$2:N$51)</f>
        <v>3610</v>
      </c>
    </row>
    <row r="104">
      <c r="A104" s="19">
        <v>46281.0</v>
      </c>
      <c r="B104" s="13">
        <f>SUMIF('Clean Data'!B$2:B$51,A104,'Clean Data'!N$2:N$51)</f>
        <v>48400</v>
      </c>
    </row>
    <row r="105">
      <c r="A105" s="19">
        <v>46282.0</v>
      </c>
      <c r="B105" s="13">
        <f>SUMIF('Clean Data'!B$2:B$51,A105,'Clean Data'!N$2:N$51)</f>
        <v>2422.5</v>
      </c>
    </row>
    <row r="106">
      <c r="A106" s="19">
        <v>46283.0</v>
      </c>
      <c r="B106" s="13">
        <f>SUMIF('Clean Data'!B$2:B$51,A106,'Clean Data'!N$2:N$51)</f>
        <v>20700</v>
      </c>
    </row>
    <row r="107">
      <c r="A107" s="19">
        <v>46284.0</v>
      </c>
      <c r="B107" s="13">
        <f>SUMIF('Clean Data'!B$2:B$51,A107,'Clean Data'!N$2:N$51)</f>
        <v>6992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3" ht="71.25" customHeight="1">
      <c r="A3" s="5"/>
      <c r="B3" s="6" t="s">
        <v>128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6">
      <c r="B6" s="20" t="s">
        <v>33</v>
      </c>
      <c r="C6" s="20" t="s">
        <v>129</v>
      </c>
    </row>
    <row r="7">
      <c r="B7" s="21" t="s">
        <v>41</v>
      </c>
      <c r="C7" s="22">
        <f>'Summary '!B7</f>
        <v>50</v>
      </c>
    </row>
    <row r="8">
      <c r="B8" s="21" t="s">
        <v>25</v>
      </c>
      <c r="C8" s="22">
        <f>'Summary '!B11</f>
        <v>676263.5</v>
      </c>
    </row>
    <row r="9">
      <c r="B9" s="21" t="s">
        <v>130</v>
      </c>
      <c r="C9" s="22">
        <f>'Summary '!B8</f>
        <v>106</v>
      </c>
    </row>
    <row r="10">
      <c r="B10" s="21" t="s">
        <v>74</v>
      </c>
      <c r="C10" s="22">
        <f>'Summary '!B12</f>
        <v>13525.27</v>
      </c>
    </row>
  </sheetData>
  <drawing r:id="rId1"/>
</worksheet>
</file>